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ri\Downloads\SAE_FINALE\SAE_FINALE\"/>
    </mc:Choice>
  </mc:AlternateContent>
  <xr:revisionPtr revIDLastSave="0" documentId="13_ncr:1_{E86D9038-E896-4858-B7E5-1D77B991C361}" xr6:coauthVersionLast="47" xr6:coauthVersionMax="47" xr10:uidLastSave="{00000000-0000-0000-0000-000000000000}"/>
  <bookViews>
    <workbookView xWindow="-108" yWindow="-108" windowWidth="23256" windowHeight="12456" activeTab="1" xr2:uid="{EE8159E0-C890-4DB7-A42A-7D16B103239F}"/>
  </bookViews>
  <sheets>
    <sheet name="crimesUSA" sheetId="4" r:id="rId1"/>
    <sheet name="Données brutes" sheetId="1" r:id="rId2"/>
    <sheet name="Centrées-réduites" sheetId="2" r:id="rId3"/>
    <sheet name="Calculs" sheetId="3" r:id="rId4"/>
  </sheets>
  <definedNames>
    <definedName name="DonnéesExternes_1" localSheetId="0" hidden="1">'crimesUSA'!$A$1:$AF$51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32" i="1"/>
  <c r="E13" i="3"/>
  <c r="C12" i="1"/>
  <c r="C11" i="1"/>
  <c r="H12" i="1"/>
  <c r="G12" i="1"/>
  <c r="F12" i="1"/>
  <c r="E12" i="1"/>
  <c r="D12" i="1"/>
  <c r="B12" i="1"/>
  <c r="H11" i="1"/>
  <c r="G11" i="1"/>
  <c r="F11" i="1"/>
  <c r="E11" i="1"/>
  <c r="D11" i="1"/>
  <c r="B11" i="1"/>
  <c r="H10" i="1"/>
  <c r="G10" i="1"/>
  <c r="F10" i="1"/>
  <c r="E10" i="1"/>
  <c r="D10" i="1"/>
  <c r="C10" i="1"/>
  <c r="B10" i="1"/>
  <c r="C17" i="1"/>
  <c r="C16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C15" i="1"/>
  <c r="B17" i="1"/>
  <c r="B16" i="1"/>
  <c r="B15" i="1"/>
  <c r="H59" i="1"/>
  <c r="H58" i="1"/>
  <c r="H57" i="1"/>
  <c r="H56" i="1"/>
  <c r="H55" i="1"/>
  <c r="H54" i="1"/>
  <c r="H53" i="1"/>
  <c r="G59" i="1"/>
  <c r="G58" i="1"/>
  <c r="G57" i="1"/>
  <c r="G56" i="1"/>
  <c r="G55" i="1"/>
  <c r="G54" i="1"/>
  <c r="G53" i="1"/>
  <c r="F59" i="1"/>
  <c r="F58" i="1"/>
  <c r="F57" i="1"/>
  <c r="F56" i="1"/>
  <c r="F55" i="1"/>
  <c r="F54" i="1"/>
  <c r="F53" i="1"/>
  <c r="E59" i="1"/>
  <c r="E58" i="1"/>
  <c r="E57" i="1"/>
  <c r="E56" i="1"/>
  <c r="E55" i="1"/>
  <c r="E54" i="1"/>
  <c r="E53" i="1"/>
  <c r="D59" i="1"/>
  <c r="D58" i="1"/>
  <c r="D57" i="1"/>
  <c r="D56" i="1"/>
  <c r="D55" i="1"/>
  <c r="D54" i="1"/>
  <c r="D53" i="1"/>
  <c r="C59" i="1"/>
  <c r="C58" i="1"/>
  <c r="C57" i="1"/>
  <c r="C56" i="1"/>
  <c r="C55" i="1"/>
  <c r="C54" i="1"/>
  <c r="C53" i="1"/>
  <c r="B59" i="1"/>
  <c r="B58" i="1"/>
  <c r="B57" i="1"/>
  <c r="B56" i="1"/>
  <c r="B55" i="1"/>
  <c r="B54" i="1"/>
  <c r="B53" i="1"/>
  <c r="D61" i="1" s="1"/>
  <c r="H48" i="1"/>
  <c r="H47" i="1"/>
  <c r="H46" i="1"/>
  <c r="H45" i="1"/>
  <c r="H44" i="1"/>
  <c r="H43" i="1"/>
  <c r="H42" i="1"/>
  <c r="G48" i="1"/>
  <c r="G47" i="1"/>
  <c r="G46" i="1"/>
  <c r="G45" i="1"/>
  <c r="G44" i="1"/>
  <c r="G43" i="1"/>
  <c r="G42" i="1"/>
  <c r="F48" i="1"/>
  <c r="F47" i="1"/>
  <c r="F46" i="1"/>
  <c r="F45" i="1"/>
  <c r="F44" i="1"/>
  <c r="F43" i="1"/>
  <c r="F42" i="1"/>
  <c r="E48" i="1"/>
  <c r="E47" i="1"/>
  <c r="E46" i="1"/>
  <c r="E45" i="1"/>
  <c r="E44" i="1"/>
  <c r="E43" i="1"/>
  <c r="E42" i="1"/>
  <c r="D48" i="1"/>
  <c r="D47" i="1"/>
  <c r="D46" i="1"/>
  <c r="D45" i="1"/>
  <c r="D44" i="1"/>
  <c r="D43" i="1"/>
  <c r="D42" i="1"/>
  <c r="C48" i="1"/>
  <c r="C47" i="1"/>
  <c r="C46" i="1"/>
  <c r="C45" i="1"/>
  <c r="C44" i="1"/>
  <c r="C43" i="1"/>
  <c r="C42" i="1"/>
  <c r="B43" i="1"/>
  <c r="B44" i="1"/>
  <c r="B45" i="1"/>
  <c r="B46" i="1"/>
  <c r="B47" i="1"/>
  <c r="B48" i="1"/>
  <c r="B42" i="1"/>
  <c r="B22" i="1" l="1"/>
  <c r="Q15" i="1"/>
  <c r="Q14" i="1"/>
  <c r="Q13" i="1"/>
  <c r="Q12" i="1"/>
  <c r="Q11" i="1"/>
  <c r="N15" i="1"/>
  <c r="N14" i="1"/>
  <c r="N13" i="1"/>
  <c r="N12" i="1"/>
  <c r="N11" i="1"/>
  <c r="L11" i="1"/>
  <c r="M11" i="1"/>
  <c r="O11" i="1"/>
  <c r="P11" i="1"/>
  <c r="L12" i="1"/>
  <c r="M12" i="1"/>
  <c r="O12" i="1"/>
  <c r="P12" i="1"/>
  <c r="L13" i="1"/>
  <c r="M13" i="1"/>
  <c r="O13" i="1"/>
  <c r="P13" i="1"/>
  <c r="L14" i="1"/>
  <c r="M14" i="1"/>
  <c r="O14" i="1"/>
  <c r="P14" i="1"/>
  <c r="L15" i="1"/>
  <c r="M15" i="1"/>
  <c r="O15" i="1"/>
  <c r="P15" i="1"/>
  <c r="K12" i="1"/>
  <c r="K13" i="1"/>
  <c r="K14" i="1"/>
  <c r="K15" i="1"/>
  <c r="K11" i="1"/>
  <c r="F26" i="1"/>
  <c r="G26" i="1"/>
  <c r="B26" i="1"/>
  <c r="H23" i="1"/>
  <c r="H26" i="1" s="1"/>
  <c r="H24" i="1"/>
  <c r="H25" i="1"/>
  <c r="G23" i="1"/>
  <c r="G24" i="1"/>
  <c r="G25" i="1"/>
  <c r="F23" i="1"/>
  <c r="F24" i="1"/>
  <c r="F25" i="1"/>
  <c r="E23" i="1"/>
  <c r="E24" i="1"/>
  <c r="E25" i="1"/>
  <c r="E26" i="1" s="1"/>
  <c r="D23" i="1"/>
  <c r="D24" i="1"/>
  <c r="D25" i="1"/>
  <c r="C23" i="1"/>
  <c r="C24" i="1"/>
  <c r="C25" i="1"/>
  <c r="H22" i="1"/>
  <c r="G22" i="1"/>
  <c r="F22" i="1"/>
  <c r="E22" i="1"/>
  <c r="D22" i="1"/>
  <c r="D26" i="1" s="1"/>
  <c r="C22" i="1"/>
  <c r="C26" i="1" s="1"/>
  <c r="B23" i="1"/>
  <c r="B24" i="1"/>
  <c r="B25" i="1"/>
  <c r="F11" i="2" l="1"/>
  <c r="F27" i="2"/>
  <c r="F43" i="2"/>
  <c r="F33" i="2"/>
  <c r="F51" i="2"/>
  <c r="F20" i="2"/>
  <c r="F5" i="2"/>
  <c r="F23" i="2"/>
  <c r="F8" i="2"/>
  <c r="F12" i="2"/>
  <c r="F28" i="2"/>
  <c r="F44" i="2"/>
  <c r="F18" i="2"/>
  <c r="F13" i="2"/>
  <c r="F29" i="2"/>
  <c r="F45" i="2"/>
  <c r="F32" i="2"/>
  <c r="F17" i="2"/>
  <c r="F19" i="2"/>
  <c r="F36" i="2"/>
  <c r="F6" i="2"/>
  <c r="F24" i="2"/>
  <c r="F14" i="2"/>
  <c r="F30" i="2"/>
  <c r="F46" i="2"/>
  <c r="F16" i="2"/>
  <c r="F50" i="2"/>
  <c r="F35" i="2"/>
  <c r="F52" i="2"/>
  <c r="F21" i="2"/>
  <c r="F38" i="2"/>
  <c r="F4" i="2"/>
  <c r="F7" i="2"/>
  <c r="F15" i="2"/>
  <c r="F31" i="2"/>
  <c r="F47" i="2"/>
  <c r="F48" i="2"/>
  <c r="F49" i="2"/>
  <c r="F34" i="2"/>
  <c r="F37" i="2"/>
  <c r="F53" i="2"/>
  <c r="F22" i="2"/>
  <c r="F39" i="2"/>
  <c r="F40" i="2"/>
  <c r="F9" i="2"/>
  <c r="F10" i="2"/>
  <c r="F25" i="2"/>
  <c r="F26" i="2"/>
  <c r="F41" i="2"/>
  <c r="F42" i="2"/>
  <c r="D5" i="2"/>
  <c r="D21" i="2"/>
  <c r="D37" i="2"/>
  <c r="D53" i="2"/>
  <c r="D11" i="2"/>
  <c r="D44" i="2"/>
  <c r="D14" i="2"/>
  <c r="D47" i="2"/>
  <c r="D32" i="2"/>
  <c r="D6" i="2"/>
  <c r="D22" i="2"/>
  <c r="D38" i="2"/>
  <c r="D4" i="2"/>
  <c r="D27" i="2"/>
  <c r="D12" i="2"/>
  <c r="D33" i="2"/>
  <c r="D7" i="2"/>
  <c r="D23" i="2"/>
  <c r="D39" i="2"/>
  <c r="D42" i="2"/>
  <c r="D28" i="2"/>
  <c r="D13" i="2"/>
  <c r="D8" i="2"/>
  <c r="D24" i="2"/>
  <c r="D40" i="2"/>
  <c r="D10" i="2"/>
  <c r="D29" i="2"/>
  <c r="D30" i="2"/>
  <c r="D31" i="2"/>
  <c r="D16" i="2"/>
  <c r="D17" i="2"/>
  <c r="D9" i="2"/>
  <c r="D25" i="2"/>
  <c r="D41" i="2"/>
  <c r="D26" i="2"/>
  <c r="D43" i="2"/>
  <c r="D45" i="2"/>
  <c r="D46" i="2"/>
  <c r="D15" i="2"/>
  <c r="D48" i="2"/>
  <c r="D49" i="2"/>
  <c r="D52" i="2"/>
  <c r="D18" i="2"/>
  <c r="D34" i="2"/>
  <c r="D36" i="2"/>
  <c r="D20" i="2"/>
  <c r="D19" i="2"/>
  <c r="D35" i="2"/>
  <c r="D51" i="2"/>
  <c r="D50" i="2"/>
  <c r="C19" i="2"/>
  <c r="C35" i="2"/>
  <c r="C51" i="2"/>
  <c r="C7" i="2"/>
  <c r="C9" i="2"/>
  <c r="C31" i="2"/>
  <c r="C20" i="2"/>
  <c r="C36" i="2"/>
  <c r="C52" i="2"/>
  <c r="C40" i="2"/>
  <c r="C41" i="2"/>
  <c r="C26" i="2"/>
  <c r="C43" i="2"/>
  <c r="C28" i="2"/>
  <c r="C46" i="2"/>
  <c r="C5" i="2"/>
  <c r="C21" i="2"/>
  <c r="C37" i="2"/>
  <c r="C53" i="2"/>
  <c r="C39" i="2"/>
  <c r="C25" i="2"/>
  <c r="C42" i="2"/>
  <c r="C11" i="2"/>
  <c r="C12" i="2"/>
  <c r="C15" i="2"/>
  <c r="C6" i="2"/>
  <c r="C22" i="2"/>
  <c r="C38" i="2"/>
  <c r="C4" i="2"/>
  <c r="C24" i="2"/>
  <c r="C10" i="2"/>
  <c r="C27" i="2"/>
  <c r="C44" i="2"/>
  <c r="C29" i="2"/>
  <c r="C14" i="2"/>
  <c r="C47" i="2"/>
  <c r="C23" i="2"/>
  <c r="C8" i="2"/>
  <c r="C13" i="2"/>
  <c r="C45" i="2"/>
  <c r="C30" i="2"/>
  <c r="C17" i="2"/>
  <c r="C18" i="2"/>
  <c r="C16" i="2"/>
  <c r="C32" i="2"/>
  <c r="C33" i="2"/>
  <c r="C49" i="2"/>
  <c r="C34" i="2"/>
  <c r="C48" i="2"/>
  <c r="C50" i="2"/>
  <c r="H13" i="2"/>
  <c r="H29" i="2"/>
  <c r="H45" i="2"/>
  <c r="H35" i="2"/>
  <c r="H6" i="2"/>
  <c r="H9" i="2"/>
  <c r="H14" i="2"/>
  <c r="H30" i="2"/>
  <c r="H46" i="2"/>
  <c r="H20" i="2"/>
  <c r="H36" i="2"/>
  <c r="H52" i="2"/>
  <c r="H38" i="2"/>
  <c r="H25" i="2"/>
  <c r="H42" i="2"/>
  <c r="H15" i="2"/>
  <c r="H31" i="2"/>
  <c r="H47" i="2"/>
  <c r="H18" i="2"/>
  <c r="H5" i="2"/>
  <c r="H37" i="2"/>
  <c r="H53" i="2"/>
  <c r="H10" i="2"/>
  <c r="H16" i="2"/>
  <c r="H32" i="2"/>
  <c r="H48" i="2"/>
  <c r="H50" i="2"/>
  <c r="H21" i="2"/>
  <c r="H22" i="2"/>
  <c r="H8" i="2"/>
  <c r="H40" i="2"/>
  <c r="H41" i="2"/>
  <c r="H17" i="2"/>
  <c r="H33" i="2"/>
  <c r="H49" i="2"/>
  <c r="H34" i="2"/>
  <c r="H19" i="2"/>
  <c r="H51" i="2"/>
  <c r="H7" i="2"/>
  <c r="H23" i="2"/>
  <c r="H39" i="2"/>
  <c r="H24" i="2"/>
  <c r="H26" i="2"/>
  <c r="H27" i="2"/>
  <c r="H43" i="2"/>
  <c r="H44" i="2"/>
  <c r="H12" i="2"/>
  <c r="H4" i="2"/>
  <c r="H11" i="2"/>
  <c r="H28" i="2"/>
  <c r="E7" i="2"/>
  <c r="E23" i="2"/>
  <c r="E39" i="2"/>
  <c r="E13" i="2"/>
  <c r="E14" i="2"/>
  <c r="E46" i="2"/>
  <c r="E33" i="2"/>
  <c r="E51" i="2"/>
  <c r="E8" i="2"/>
  <c r="E24" i="2"/>
  <c r="E40" i="2"/>
  <c r="E30" i="2"/>
  <c r="E47" i="2"/>
  <c r="E16" i="2"/>
  <c r="E9" i="2"/>
  <c r="E25" i="2"/>
  <c r="E41" i="2"/>
  <c r="E44" i="2"/>
  <c r="E15" i="2"/>
  <c r="E48" i="2"/>
  <c r="E10" i="2"/>
  <c r="E26" i="2"/>
  <c r="E42" i="2"/>
  <c r="E12" i="2"/>
  <c r="E45" i="2"/>
  <c r="E31" i="2"/>
  <c r="E49" i="2"/>
  <c r="E34" i="2"/>
  <c r="E19" i="2"/>
  <c r="E11" i="2"/>
  <c r="E27" i="2"/>
  <c r="E43" i="2"/>
  <c r="E28" i="2"/>
  <c r="E29" i="2"/>
  <c r="E32" i="2"/>
  <c r="E17" i="2"/>
  <c r="E18" i="2"/>
  <c r="E50" i="2"/>
  <c r="E35" i="2"/>
  <c r="E21" i="2"/>
  <c r="E37" i="2"/>
  <c r="E38" i="2"/>
  <c r="E4" i="2"/>
  <c r="E5" i="2"/>
  <c r="E22" i="2"/>
  <c r="E36" i="2"/>
  <c r="E20" i="2"/>
  <c r="E52" i="2"/>
  <c r="E53" i="2"/>
  <c r="E6" i="2"/>
  <c r="G12" i="2"/>
  <c r="G28" i="2"/>
  <c r="G44" i="2"/>
  <c r="G34" i="2"/>
  <c r="G19" i="2"/>
  <c r="G39" i="2"/>
  <c r="G13" i="2"/>
  <c r="G29" i="2"/>
  <c r="G45" i="2"/>
  <c r="G18" i="2"/>
  <c r="G35" i="2"/>
  <c r="G20" i="2"/>
  <c r="G53" i="2"/>
  <c r="G7" i="2"/>
  <c r="G4" i="2"/>
  <c r="G14" i="2"/>
  <c r="G30" i="2"/>
  <c r="G46" i="2"/>
  <c r="G51" i="2"/>
  <c r="G36" i="2"/>
  <c r="G5" i="2"/>
  <c r="G15" i="2"/>
  <c r="G31" i="2"/>
  <c r="G47" i="2"/>
  <c r="G33" i="2"/>
  <c r="G37" i="2"/>
  <c r="G23" i="2"/>
  <c r="G16" i="2"/>
  <c r="G32" i="2"/>
  <c r="G48" i="2"/>
  <c r="G17" i="2"/>
  <c r="G49" i="2"/>
  <c r="G50" i="2"/>
  <c r="G52" i="2"/>
  <c r="G21" i="2"/>
  <c r="G6" i="2"/>
  <c r="G22" i="2"/>
  <c r="G38" i="2"/>
  <c r="G8" i="2"/>
  <c r="G24" i="2"/>
  <c r="G40" i="2"/>
  <c r="G9" i="2"/>
  <c r="G25" i="2"/>
  <c r="G41" i="2"/>
  <c r="G11" i="2"/>
  <c r="G10" i="2"/>
  <c r="G26" i="2"/>
  <c r="G42" i="2"/>
  <c r="G43" i="2"/>
  <c r="G27" i="2"/>
  <c r="B17" i="2"/>
  <c r="B33" i="2"/>
  <c r="B49" i="2"/>
  <c r="B63" i="3" s="1"/>
  <c r="B6" i="2"/>
  <c r="B20" i="3" s="1"/>
  <c r="B23" i="2"/>
  <c r="B24" i="2"/>
  <c r="B10" i="2"/>
  <c r="B11" i="2"/>
  <c r="B44" i="2"/>
  <c r="B45" i="2"/>
  <c r="B18" i="2"/>
  <c r="B34" i="2"/>
  <c r="B50" i="2"/>
  <c r="B39" i="2"/>
  <c r="B40" i="2"/>
  <c r="B29" i="2"/>
  <c r="B19" i="2"/>
  <c r="B35" i="2"/>
  <c r="B51" i="2"/>
  <c r="B22" i="2"/>
  <c r="B36" i="3" s="1"/>
  <c r="B25" i="2"/>
  <c r="B42" i="2"/>
  <c r="B12" i="2"/>
  <c r="B20" i="2"/>
  <c r="B36" i="2"/>
  <c r="B52" i="2"/>
  <c r="B37" i="2"/>
  <c r="B4" i="2"/>
  <c r="B9" i="2"/>
  <c r="B27" i="2"/>
  <c r="B28" i="2"/>
  <c r="B5" i="2"/>
  <c r="B21" i="2"/>
  <c r="B53" i="2"/>
  <c r="B67" i="3" s="1"/>
  <c r="B38" i="2"/>
  <c r="B7" i="2"/>
  <c r="B21" i="3" s="1"/>
  <c r="B8" i="2"/>
  <c r="B41" i="2"/>
  <c r="B26" i="2"/>
  <c r="B43" i="2"/>
  <c r="B13" i="2"/>
  <c r="B46" i="2"/>
  <c r="B48" i="2"/>
  <c r="B14" i="2"/>
  <c r="B30" i="2"/>
  <c r="B31" i="2"/>
  <c r="B32" i="2"/>
  <c r="B47" i="2"/>
  <c r="B61" i="3" s="1"/>
  <c r="B16" i="2"/>
  <c r="B15" i="2"/>
  <c r="G9" i="3" l="1"/>
  <c r="B9" i="3"/>
  <c r="E9" i="3"/>
  <c r="D9" i="3"/>
  <c r="H9" i="3"/>
  <c r="B31" i="3"/>
  <c r="B19" i="3"/>
  <c r="B43" i="3"/>
  <c r="B46" i="3"/>
  <c r="B42" i="3"/>
  <c r="B54" i="3"/>
  <c r="B45" i="3"/>
  <c r="B41" i="3"/>
  <c r="B53" i="3"/>
  <c r="B44" i="3"/>
  <c r="B23" i="3"/>
  <c r="B64" i="3"/>
  <c r="C10" i="3"/>
  <c r="D10" i="3"/>
  <c r="E10" i="3"/>
  <c r="G10" i="3"/>
  <c r="B10" i="3"/>
  <c r="H10" i="3"/>
  <c r="F10" i="3"/>
  <c r="G7" i="3"/>
  <c r="B7" i="3"/>
  <c r="E7" i="3"/>
  <c r="D7" i="3"/>
  <c r="C7" i="3"/>
  <c r="H7" i="3"/>
  <c r="B47" i="3"/>
  <c r="B35" i="3"/>
  <c r="E5" i="3"/>
  <c r="B18" i="3"/>
  <c r="B74" i="3" a="1"/>
  <c r="B74" i="3" s="1"/>
  <c r="H5" i="3"/>
  <c r="F5" i="3"/>
  <c r="G5" i="3"/>
  <c r="D5" i="3"/>
  <c r="C5" i="3"/>
  <c r="H11" i="3"/>
  <c r="B59" i="3"/>
  <c r="B27" i="3"/>
  <c r="C9" i="3"/>
  <c r="B24" i="3"/>
  <c r="B8" i="3"/>
  <c r="G8" i="3"/>
  <c r="C8" i="3"/>
  <c r="H8" i="3"/>
  <c r="F8" i="3"/>
  <c r="D8" i="3"/>
  <c r="E8" i="3"/>
  <c r="F7" i="3"/>
  <c r="B52" i="3"/>
  <c r="B30" i="3"/>
  <c r="B28" i="3"/>
  <c r="B62" i="3"/>
  <c r="B32" i="3"/>
  <c r="B66" i="3"/>
  <c r="B50" i="3"/>
  <c r="B34" i="3"/>
  <c r="B40" i="3"/>
  <c r="B26" i="3"/>
  <c r="B55" i="3"/>
  <c r="B56" i="3"/>
  <c r="B38" i="3"/>
  <c r="B65" i="3"/>
  <c r="B29" i="3"/>
  <c r="B49" i="3"/>
  <c r="B33" i="3"/>
  <c r="B48" i="3"/>
  <c r="B51" i="3"/>
  <c r="B60" i="3"/>
  <c r="B11" i="3"/>
  <c r="D11" i="3"/>
  <c r="E11" i="3"/>
  <c r="G11" i="3"/>
  <c r="F11" i="3"/>
  <c r="C11" i="3"/>
  <c r="B58" i="3"/>
  <c r="B57" i="3"/>
  <c r="B25" i="3"/>
  <c r="B5" i="3"/>
  <c r="B22" i="3"/>
  <c r="B39" i="3"/>
  <c r="B37" i="3"/>
  <c r="H6" i="3"/>
  <c r="G6" i="3"/>
  <c r="D6" i="3"/>
  <c r="F6" i="3"/>
  <c r="E6" i="3"/>
  <c r="C6" i="3"/>
  <c r="B6" i="3"/>
  <c r="F9" i="3"/>
  <c r="B7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B6A4B6-DF0F-461E-80D6-67EFE511D3FC}" keepAlive="1" name="Requête - crimesUSA" description="Connexion à la requête « crimesUSA » dans le classeur." type="5" refreshedVersion="8" background="1" saveData="1">
    <dbPr connection="Provider=Microsoft.Mashup.OleDb.1;Data Source=$Workbook$;Location=crimesUSA;Extended Properties=&quot;&quot;" command="SELECT * FROM [crimesUS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<sst xmlns="http://schemas.openxmlformats.org/spreadsheetml/2006/main" count="593" uniqueCount="197">
  <si>
    <t>NOM :</t>
  </si>
  <si>
    <t>Prénom :</t>
  </si>
  <si>
    <t>Groupe :</t>
  </si>
  <si>
    <t>MEURTRE</t>
  </si>
  <si>
    <t>VIOL</t>
  </si>
  <si>
    <t>CAMBRIOLAGE</t>
  </si>
  <si>
    <t>Les 3 -</t>
  </si>
  <si>
    <t>Les 3 +</t>
  </si>
  <si>
    <t>POSITION GEOGRAPHIQUE</t>
  </si>
  <si>
    <t>Ouest</t>
  </si>
  <si>
    <t>Sud</t>
  </si>
  <si>
    <t>avec les 7 variables</t>
  </si>
  <si>
    <t>Matrice des corrélations :</t>
  </si>
  <si>
    <t>Matrice de Variance-Covariance</t>
  </si>
  <si>
    <t>Inertie du nuage de points :</t>
  </si>
  <si>
    <t>Matrice de Variance-Covariance des données centrées-réduites</t>
  </si>
  <si>
    <t>Inertie du nuage de points centré-réduit:</t>
  </si>
  <si>
    <t>Données Centrées-réduites :</t>
  </si>
  <si>
    <t>distance(i ; 0)</t>
  </si>
  <si>
    <t>Inertie =</t>
  </si>
  <si>
    <t>NOM du Binôme (s'il y en a un) :</t>
  </si>
  <si>
    <t>Moyenne générale :</t>
  </si>
  <si>
    <r>
      <t>Calcul de F</t>
    </r>
    <r>
      <rPr>
        <b/>
        <sz val="8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(Alaska) =</t>
    </r>
  </si>
  <si>
    <t>ici, vous êtes libre de</t>
  </si>
  <si>
    <t>détailler le calcul</t>
  </si>
  <si>
    <t xml:space="preserve">comme vous le </t>
  </si>
  <si>
    <t>souhaitez</t>
  </si>
  <si>
    <t>Min</t>
  </si>
  <si>
    <t>Max</t>
  </si>
  <si>
    <t>Moyenne</t>
  </si>
  <si>
    <t>Q2</t>
  </si>
  <si>
    <t>Ecart type</t>
  </si>
  <si>
    <t>T_CAMBRIOLAGE</t>
  </si>
  <si>
    <t>T_VOL</t>
  </si>
  <si>
    <t>T_VOL_AUTO</t>
  </si>
  <si>
    <t>T_MENACE</t>
  </si>
  <si>
    <t>T_MEURTRE</t>
  </si>
  <si>
    <t>T_VIOL</t>
  </si>
  <si>
    <t>T_AGRESSION_PHYSIQUE</t>
  </si>
  <si>
    <t>VOL</t>
  </si>
  <si>
    <t>VOL_AUTO</t>
  </si>
  <si>
    <t>MENACE</t>
  </si>
  <si>
    <t>AGRESSION_PHYSIQUE</t>
  </si>
  <si>
    <t xml:space="preserve">Moyennes </t>
  </si>
  <si>
    <t>Centre-Ouest</t>
  </si>
  <si>
    <t>Nord-Est</t>
  </si>
  <si>
    <t>d(Colorado; Connecticut) =</t>
  </si>
  <si>
    <t>avec seulement CAMBRIOLAGE, VOL et VOL AUTO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</si>
  <si>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</si>
  <si>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</si>
  <si>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</si>
  <si>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</si>
  <si>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</si>
  <si>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</si>
  <si>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</si>
  <si>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</si>
  <si>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</si>
  <si>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</si>
  <si>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</si>
  <si>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</si>
  <si>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</si>
  <si>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</si>
  <si>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</si>
  <si>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</si>
  <si>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</si>
  <si>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</si>
  <si>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</si>
  <si>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</si>
  <si>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</si>
  <si>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</si>
  <si>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</si>
  <si>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</si>
  <si>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</si>
  <si>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</si>
  <si>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</si>
  <si>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</si>
  <si>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</si>
  <si>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</si>
  <si>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</si>
  <si>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</si>
  <si>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</si>
  <si>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</si>
  <si>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</si>
  <si>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</si>
  <si>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</si>
  <si>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</si>
  <si>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</si>
  <si>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</si>
  <si>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</si>
  <si>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</si>
  <si>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</si>
  <si>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</si>
  <si>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</si>
  <si>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</si>
  <si>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</si>
  <si>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</si>
  <si>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</si>
  <si>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</si>
  <si>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ETAT</t>
  </si>
  <si>
    <t>ABRIC--SEGARRA</t>
  </si>
  <si>
    <t>Maxence</t>
  </si>
  <si>
    <t>C</t>
  </si>
  <si>
    <t>ETAT_abr</t>
  </si>
  <si>
    <t>ANNEE</t>
  </si>
  <si>
    <t>T_INFRACTION</t>
  </si>
  <si>
    <t>T_CRIME_VIOLENT</t>
  </si>
  <si>
    <t>TOTAL_INFRACTION</t>
  </si>
  <si>
    <t>TOTAL_CAMBRIOLAGE</t>
  </si>
  <si>
    <t>TOTAL_VOL</t>
  </si>
  <si>
    <t>TOTAL_VOL_AUTO</t>
  </si>
  <si>
    <t>TOTAL_CRIME_VIOLENT</t>
  </si>
  <si>
    <t>TOTAL_MENACE</t>
  </si>
  <si>
    <t>TOTAL_MEURTRE</t>
  </si>
  <si>
    <t>TOTAL_VIOL</t>
  </si>
  <si>
    <t>TOTAL_AGRESSION_PHYSIQUE</t>
  </si>
  <si>
    <t>POPULATION</t>
  </si>
  <si>
    <t>SURFACE_KM2</t>
  </si>
  <si>
    <t>TAUX_PAUVRETE</t>
  </si>
  <si>
    <t>TAUX_COLLEGE_GRAD</t>
  </si>
  <si>
    <t>TAUX_PARTICIPATION_2016</t>
  </si>
  <si>
    <t>TAUX_URBANISATION</t>
  </si>
  <si>
    <t xml:space="preserve">PIB_2019 </t>
  </si>
  <si>
    <t>PEINE_DE_MORT</t>
  </si>
  <si>
    <t>POSITION_GEO</t>
  </si>
  <si>
    <t>PERIPHERIE</t>
  </si>
  <si>
    <t>CLIMAT</t>
  </si>
  <si>
    <t>AK</t>
  </si>
  <si>
    <t>60 - 65%</t>
  </si>
  <si>
    <t>Non</t>
  </si>
  <si>
    <t>Autre</t>
  </si>
  <si>
    <t>Continental froid</t>
  </si>
  <si>
    <t>AL</t>
  </si>
  <si>
    <t>55 - 60 %</t>
  </si>
  <si>
    <t>Oui</t>
  </si>
  <si>
    <t>Peripherie</t>
  </si>
  <si>
    <t>Subtropical humide</t>
  </si>
  <si>
    <t>AR</t>
  </si>
  <si>
    <t>50 - 55 %</t>
  </si>
  <si>
    <t>Centre</t>
  </si>
  <si>
    <t>AZ</t>
  </si>
  <si>
    <t>Moins de 50 %</t>
  </si>
  <si>
    <t>Desertique et semi-aride chaud</t>
  </si>
  <si>
    <t>CA</t>
  </si>
  <si>
    <t>Moratoire</t>
  </si>
  <si>
    <t>Mediteraneen</t>
  </si>
  <si>
    <t>CO</t>
  </si>
  <si>
    <t>Plus de 65 %</t>
  </si>
  <si>
    <t>Semi-aride - steppes</t>
  </si>
  <si>
    <t>CT</t>
  </si>
  <si>
    <t>Continental humide</t>
  </si>
  <si>
    <t>DE</t>
  </si>
  <si>
    <t>FL</t>
  </si>
  <si>
    <t>GA</t>
  </si>
  <si>
    <t>HI</t>
  </si>
  <si>
    <t>Tropical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</si>
  <si>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</si>
  <si>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</si>
  <si>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</si>
  <si>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</si>
  <si>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</si>
  <si>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</si>
  <si>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</si>
  <si>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</si>
  <si>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</si>
  <si>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</si>
  <si>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</si>
  <si>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</si>
  <si>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</si>
  <si>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</si>
  <si>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</si>
  <si>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</si>
  <si>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</si>
  <si>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</si>
  <si>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</si>
  <si>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</si>
  <si>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</si>
  <si>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</si>
  <si>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</si>
  <si>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</si>
  <si>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</si>
  <si>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</si>
  <si>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Oceanique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</si>
  <si>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</si>
  <si>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</si>
  <si>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</si>
  <si>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</si>
  <si>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</si>
  <si>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</si>
  <si>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</si>
  <si>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</si>
  <si>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</si>
  <si>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</si>
  <si>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</si>
  <si>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</si>
  <si>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</si>
  <si>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 xml:space="preserve">Pas de changement majeurs car les variables ne sont  pas centrées réduites, </t>
  </si>
  <si>
    <t>la variable VOL étant très élevés pousse alors vers le haut la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</si>
</sst>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5" borderId="0" xfId="0" applyFont="1" applyFill="1"/>
    <xf numFmtId="0" fontId="0" fillId="5" borderId="0" xfId="0" applyFill="1"/>
    <xf numFmtId="0" fontId="0" fillId="6" borderId="0" xfId="0" applyFill="1"/>
    <xf numFmtId="0" fontId="5" fillId="6" borderId="0" xfId="0" applyFont="1" applyFill="1"/>
    <xf numFmtId="0" fontId="4" fillId="4" borderId="0" xfId="0" applyFont="1" applyFill="1"/>
    <xf numFmtId="2" fontId="4" fillId="4" borderId="0" xfId="0" applyNumberFormat="1" applyFont="1" applyFill="1"/>
    <xf numFmtId="0" fontId="7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3" fillId="0" borderId="1" xfId="0" applyFont="1" applyBorder="1"/>
    <xf numFmtId="2" fontId="4" fillId="4" borderId="1" xfId="0" applyNumberFormat="1" applyFont="1" applyFill="1" applyBorder="1"/>
    <xf numFmtId="2" fontId="0" fillId="3" borderId="0" xfId="0" applyNumberFormat="1" applyFill="1"/>
    <xf numFmtId="2" fontId="0" fillId="0" borderId="0" xfId="0" applyNumberFormat="1"/>
    <xf numFmtId="2" fontId="0" fillId="4" borderId="0" xfId="0" applyNumberFormat="1" applyFill="1"/>
    <xf numFmtId="0" fontId="8" fillId="0" borderId="0" xfId="0" applyFont="1" applyAlignment="1">
      <alignment vertical="center"/>
    </xf>
    <xf numFmtId="0" fontId="10" fillId="0" borderId="0" xfId="0" applyFont="1" applyBorder="1" applyAlignment="1">
      <alignment horizontal="left" vertical="center" wrapText="1" indent="1" readingOrder="1"/>
    </xf>
    <xf numFmtId="0" fontId="9" fillId="0" borderId="0" xfId="0" applyFont="1" applyBorder="1" applyAlignment="1">
      <alignment horizontal="left" vertical="center" wrapText="1" indent="1" readingOrder="1"/>
    </xf>
    <xf numFmtId="0" fontId="0" fillId="0" borderId="0" xfId="0" applyBorder="1"/>
    <xf numFmtId="0" fontId="0" fillId="0" borderId="0" xfId="0" applyAlignment="1"/>
    <xf numFmtId="0" fontId="0" fillId="0" borderId="0" xfId="0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FCC207E-4864-466C-B065-C107C9DB2EE5}" autoFormatId="16" applyNumberFormats="0" applyBorderFormats="0" applyFontFormats="0" applyPatternFormats="0" applyAlignmentFormats="0" applyWidthHeightFormats="0">
  <queryTableRefresh nextId="33">
    <queryTableFields count="32">
      <queryTableField id="1" name="ETAT" tableColumnId="1"/>
      <queryTableField id="2" name="ETAT_abr" tableColumnId="2"/>
      <queryTableField id="3" name="ANNEE" tableColumnId="3"/>
      <queryTableField id="4" name="T_INFRACTION" tableColumnId="4"/>
      <queryTableField id="5" name="T_CAMBRIOLAGE" tableColumnId="5"/>
      <queryTableField id="6" name="T_VOL" tableColumnId="6"/>
      <queryTableField id="7" name="T_VOL_AUTO" tableColumnId="7"/>
      <queryTableField id="8" name="T_CRIME_VIOLENT" tableColumnId="8"/>
      <queryTableField id="9" name="T_MENACE" tableColumnId="9"/>
      <queryTableField id="10" name="T_MEURTRE" tableColumnId="10"/>
      <queryTableField id="11" name="T_VIOL" tableColumnId="11"/>
      <queryTableField id="12" name="T_AGRESSION_PHYSIQUE" tableColumnId="12"/>
      <queryTableField id="13" name="TOTAL_INFRACTION" tableColumnId="13"/>
      <queryTableField id="14" name="TOTAL_CAMBRIOLAGE" tableColumnId="14"/>
      <queryTableField id="15" name="TOTAL_VOL" tableColumnId="15"/>
      <queryTableField id="16" name="TOTAL_VOL_AUTO" tableColumnId="16"/>
      <queryTableField id="17" name="TOTAL_CRIME_VIOLENT" tableColumnId="17"/>
      <queryTableField id="18" name="TOTAL_MENACE" tableColumnId="18"/>
      <queryTableField id="19" name="TOTAL_MEURTRE" tableColumnId="19"/>
      <queryTableField id="20" name="TOTAL_VIOL" tableColumnId="20"/>
      <queryTableField id="21" name="TOTAL_AGRESSION_PHYSIQUE" tableColumnId="21"/>
      <queryTableField id="22" name="POPULATION" tableColumnId="22"/>
      <queryTableField id="23" name="SURFACE_KM2" tableColumnId="23"/>
      <queryTableField id="24" name="TAUX_PAUVRETE" tableColumnId="24"/>
      <queryTableField id="25" name="TAUX_COLLEGE_GRAD" tableColumnId="25"/>
      <queryTableField id="26" name="TAUX_PARTICIPATION_2016" tableColumnId="26"/>
      <queryTableField id="27" name="TAUX_URBANISATION" tableColumnId="27"/>
      <queryTableField id="28" name="PIB_2019 " tableColumnId="28"/>
      <queryTableField id="29" name="PEINE_DE_MORT" tableColumnId="29"/>
      <queryTableField id="30" name="POSITION_GEO" tableColumnId="30"/>
      <queryTableField id="31" name="PERIPHERIE" tableColumnId="31"/>
      <queryTableField id="32" name="CLIMAT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CC831-3BD7-4112-8B66-1BF70C332755}" name="crimesUSA" displayName="crimesUSA" ref="A1:AF51" tableType="queryTable" totalsRowShown="0">
  <autoFilter ref="A1:AF51" xr:uid="{73BCC831-3BD7-4112-8B66-1BF70C332755}"/>
  <tableColumns count="32">
    <tableColumn id="1" xr3:uid="{4F082E24-4526-493D-B10E-D3701C249F9B}" uniqueName="1" name="ETAT" queryTableFieldId="1" dataDxfId="6"/>
    <tableColumn id="2" xr3:uid="{5E1118F2-35B9-4C5C-A9F9-26D255804CE8}" uniqueName="2" name="ETAT_abr" queryTableFieldId="2" dataDxfId="5"/>
    <tableColumn id="3" xr3:uid="{65C1B62E-20E4-46B7-98C4-DC570EF70C53}" uniqueName="3" name="ANNEE" queryTableFieldId="3"/>
    <tableColumn id="4" xr3:uid="{24FD2067-C1D5-499C-8B3F-7E8843786641}" uniqueName="4" name="T_INFRACTION" queryTableFieldId="4"/>
    <tableColumn id="5" xr3:uid="{2518CB79-1EA5-4EDA-AB00-F3DCFDEC210B}" uniqueName="5" name="T_CAMBRIOLAGE" queryTableFieldId="5"/>
    <tableColumn id="6" xr3:uid="{E8B1197E-C5F9-4D68-8D67-19544E3B9272}" uniqueName="6" name="T_VOL" queryTableFieldId="6"/>
    <tableColumn id="7" xr3:uid="{81062E09-7646-45EB-A80D-20687F660F0D}" uniqueName="7" name="T_VOL_AUTO" queryTableFieldId="7"/>
    <tableColumn id="8" xr3:uid="{877A2C94-39FA-4A9B-8E23-D5D7DC53AB92}" uniqueName="8" name="T_CRIME_VIOLENT" queryTableFieldId="8"/>
    <tableColumn id="9" xr3:uid="{33BCD39B-1AD7-4815-84A5-1C02406C2771}" uniqueName="9" name="T_MENACE" queryTableFieldId="9"/>
    <tableColumn id="10" xr3:uid="{ABB0D83B-63C7-495D-A032-C16DA338B21B}" uniqueName="10" name="T_MEURTRE" queryTableFieldId="10"/>
    <tableColumn id="11" xr3:uid="{2507686F-4399-433B-A669-A198768728A3}" uniqueName="11" name="T_VIOL" queryTableFieldId="11"/>
    <tableColumn id="12" xr3:uid="{65B17DC3-4136-4509-8224-E20637A6AABA}" uniqueName="12" name="T_AGRESSION_PHYSIQUE" queryTableFieldId="12"/>
    <tableColumn id="13" xr3:uid="{05E8AD6C-FEA8-4483-A84C-1C748A04BB0D}" uniqueName="13" name="TOTAL_INFRACTION" queryTableFieldId="13"/>
    <tableColumn id="14" xr3:uid="{99D01FA7-AC5D-41A3-9990-DA4E45132AC7}" uniqueName="14" name="TOTAL_CAMBRIOLAGE" queryTableFieldId="14"/>
    <tableColumn id="15" xr3:uid="{7755E406-65F8-4B05-9A57-21620B78BF1D}" uniqueName="15" name="TOTAL_VOL" queryTableFieldId="15"/>
    <tableColumn id="16" xr3:uid="{0F1A379B-5320-48E3-A94E-E1CD4B6453EE}" uniqueName="16" name="TOTAL_VOL_AUTO" queryTableFieldId="16"/>
    <tableColumn id="17" xr3:uid="{75EA8C82-E2F9-41B3-A1AD-AB0DA14EF313}" uniqueName="17" name="TOTAL_CRIME_VIOLENT" queryTableFieldId="17"/>
    <tableColumn id="18" xr3:uid="{6D05EEB6-0636-4091-9715-02B09512D45A}" uniqueName="18" name="TOTAL_MENACE" queryTableFieldId="18"/>
    <tableColumn id="19" xr3:uid="{6C96FDC7-9B23-4165-947F-018D938A5F6C}" uniqueName="19" name="TOTAL_MEURTRE" queryTableFieldId="19"/>
    <tableColumn id="20" xr3:uid="{94FB82B2-FD30-4F23-873E-DD2966146BDA}" uniqueName="20" name="TOTAL_VIOL" queryTableFieldId="20"/>
    <tableColumn id="21" xr3:uid="{41175C3B-2F6F-477F-BDDC-A8C4144EE6D3}" uniqueName="21" name="TOTAL_AGRESSION_PHYSIQUE" queryTableFieldId="21"/>
    <tableColumn id="22" xr3:uid="{5EA00F82-F23B-48C5-905E-EE6B29A9FB38}" uniqueName="22" name="POPULATION" queryTableFieldId="22"/>
    <tableColumn id="23" xr3:uid="{C9EBC43D-4B6F-4F11-9422-64865444EE0D}" uniqueName="23" name="SURFACE_KM2" queryTableFieldId="23"/>
    <tableColumn id="24" xr3:uid="{EE8BBD88-FDE9-42D3-940D-DEAED5AD6514}" uniqueName="24" name="TAUX_PAUVRETE" queryTableFieldId="24"/>
    <tableColumn id="25" xr3:uid="{EF410B10-32C9-408E-AD35-0EC4E8401913}" uniqueName="25" name="TAUX_COLLEGE_GRAD" queryTableFieldId="25"/>
    <tableColumn id="26" xr3:uid="{1939DED0-084F-48A7-9049-E5E470A6EE09}" uniqueName="26" name="TAUX_PARTICIPATION_2016" queryTableFieldId="26" dataDxfId="4"/>
    <tableColumn id="27" xr3:uid="{7C939A5B-BD5A-4B59-9540-309CE1813F88}" uniqueName="27" name="TAUX_URBANISATION" queryTableFieldId="27"/>
    <tableColumn id="28" xr3:uid="{C892E696-7B67-4B87-BFF8-4216B7E7EA6C}" uniqueName="28" name="PIB_2019 " queryTableFieldId="28"/>
    <tableColumn id="29" xr3:uid="{413DE0EE-4117-4BAE-B7EF-0ED7F3BE2CB4}" uniqueName="29" name="PEINE_DE_MORT" queryTableFieldId="29" dataDxfId="3"/>
    <tableColumn id="30" xr3:uid="{3DE8D59E-3151-4D31-AD3C-FEC097FD53EC}" uniqueName="30" name="POSITION_GEO" queryTableFieldId="30" dataDxfId="2"/>
    <tableColumn id="31" xr3:uid="{7D784CF0-9282-488F-A317-C3B143473D34}" uniqueName="31" name="PERIPHERIE" queryTableFieldId="31" dataDxfId="1"/>
    <tableColumn id="32" xr3:uid="{0B15A9E3-3C83-4168-A185-5B2154E99823}" uniqueName="32" name="CLIMAT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806F-1107-4DE9-9F94-2EA74D2AA279}">
  <dimension ref="A1:AF51"/>
  <sheetViews>
    <sheetView workbookViewId="0">
      <selection activeCell="C1" sqref="C1"/>
    </sheetView>
  </sheetViews>
  <sheetFormatPr baseColWidth="10" defaultRowHeight="14.4"/>
  <cols>
    <col min="1" max="1" width="17" bestFit="1" customWidth="1"/>
    <col min="3" max="3" width="9.44140625" bestFit="1" customWidth="1"/>
    <col min="4" max="4" width="16.33203125" bestFit="1" customWidth="1"/>
    <col min="5" max="5" width="18.5546875" bestFit="1" customWidth="1"/>
    <col min="6" max="6" width="8.88671875" bestFit="1" customWidth="1"/>
    <col min="7" max="7" width="15" bestFit="1" customWidth="1"/>
    <col min="8" max="8" width="19.6640625" bestFit="1" customWidth="1"/>
    <col min="9" max="9" width="13" bestFit="1" customWidth="1"/>
    <col min="10" max="10" width="13.88671875" bestFit="1" customWidth="1"/>
    <col min="11" max="11" width="9.44140625" bestFit="1" customWidth="1"/>
    <col min="12" max="12" width="25.88671875" bestFit="1" customWidth="1"/>
    <col min="13" max="13" width="21" bestFit="1" customWidth="1"/>
    <col min="14" max="14" width="23.109375" bestFit="1" customWidth="1"/>
    <col min="15" max="15" width="13.44140625" bestFit="1" customWidth="1"/>
    <col min="16" max="16" width="19.6640625" bestFit="1" customWidth="1"/>
    <col min="17" max="17" width="24.44140625" bestFit="1" customWidth="1"/>
    <col min="18" max="18" width="17.5546875" bestFit="1" customWidth="1"/>
    <col min="19" max="19" width="18.5546875" bestFit="1" customWidth="1"/>
    <col min="20" max="20" width="14" bestFit="1" customWidth="1"/>
    <col min="21" max="21" width="30.5546875" bestFit="1" customWidth="1"/>
    <col min="22" max="22" width="15" bestFit="1" customWidth="1"/>
    <col min="23" max="23" width="16.33203125" bestFit="1" customWidth="1"/>
    <col min="24" max="24" width="18.5546875" bestFit="1" customWidth="1"/>
    <col min="25" max="25" width="23.109375" bestFit="1" customWidth="1"/>
    <col min="26" max="26" width="28.109375" bestFit="1" customWidth="1"/>
    <col min="27" max="27" width="23" bestFit="1" customWidth="1"/>
    <col min="28" max="28" width="11.5546875" bestFit="1" customWidth="1"/>
    <col min="29" max="29" width="18.109375" bestFit="1" customWidth="1"/>
    <col min="30" max="30" width="16.6640625" bestFit="1" customWidth="1"/>
    <col min="31" max="31" width="13.33203125" bestFit="1" customWidth="1"/>
    <col min="32" max="32" width="29.33203125" bestFit="1" customWidth="1"/>
  </cols>
  <sheetData>
    <row r="1" spans="1:32">
      <c r="A1" t="s">
        <v>98</v>
      </c>
      <c r="B1" t="s">
        <v>102</v>
      </c>
      <c r="C1" t="s">
        <v>103</v>
      </c>
      <c r="D1" t="s">
        <v>104</v>
      </c>
      <c r="E1" t="s">
        <v>32</v>
      </c>
      <c r="F1" t="s">
        <v>33</v>
      </c>
      <c r="G1" t="s">
        <v>34</v>
      </c>
      <c r="H1" t="s">
        <v>105</v>
      </c>
      <c r="I1" t="s">
        <v>35</v>
      </c>
      <c r="J1" t="s">
        <v>36</v>
      </c>
      <c r="K1" t="s">
        <v>37</v>
      </c>
      <c r="L1" t="s">
        <v>38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</row>
    <row r="2" spans="1:32">
      <c r="A2" t="s">
        <v>48</v>
      </c>
      <c r="B2" t="s">
        <v>126</v>
      </c>
      <c r="C2">
        <v>2019</v>
      </c>
      <c r="D2">
        <v>2910.8</v>
      </c>
      <c r="E2">
        <v>487.1</v>
      </c>
      <c r="F2">
        <v>2066</v>
      </c>
      <c r="G2">
        <v>357.7</v>
      </c>
      <c r="H2">
        <v>867.1</v>
      </c>
      <c r="I2">
        <v>596</v>
      </c>
      <c r="J2">
        <v>9.4</v>
      </c>
      <c r="K2">
        <v>148.69999999999999</v>
      </c>
      <c r="L2">
        <v>112.9</v>
      </c>
      <c r="M2">
        <v>21294</v>
      </c>
      <c r="N2">
        <v>3563</v>
      </c>
      <c r="O2">
        <v>15114</v>
      </c>
      <c r="P2">
        <v>2617</v>
      </c>
      <c r="Q2">
        <v>6343</v>
      </c>
      <c r="R2">
        <v>4360</v>
      </c>
      <c r="S2">
        <v>69</v>
      </c>
      <c r="T2">
        <v>1088</v>
      </c>
      <c r="U2">
        <v>826</v>
      </c>
      <c r="V2">
        <v>731545</v>
      </c>
      <c r="W2">
        <v>1481305</v>
      </c>
      <c r="X2">
        <v>11.4</v>
      </c>
      <c r="Y2">
        <v>26</v>
      </c>
      <c r="Z2" t="s">
        <v>127</v>
      </c>
      <c r="AA2">
        <v>65</v>
      </c>
      <c r="AB2">
        <v>51</v>
      </c>
      <c r="AC2" t="s">
        <v>128</v>
      </c>
      <c r="AD2" t="s">
        <v>9</v>
      </c>
      <c r="AE2" t="s">
        <v>129</v>
      </c>
      <c r="AF2" t="s">
        <v>130</v>
      </c>
    </row>
    <row r="3" spans="1:32">
      <c r="A3" t="s">
        <v>49</v>
      </c>
      <c r="B3" t="s">
        <v>131</v>
      </c>
      <c r="C3">
        <v>2019</v>
      </c>
      <c r="D3">
        <v>2674.4</v>
      </c>
      <c r="E3">
        <v>531.9</v>
      </c>
      <c r="F3">
        <v>1886.1</v>
      </c>
      <c r="G3">
        <v>256.5</v>
      </c>
      <c r="H3">
        <v>510.8</v>
      </c>
      <c r="I3">
        <v>381</v>
      </c>
      <c r="J3">
        <v>7.3</v>
      </c>
      <c r="K3">
        <v>42.2</v>
      </c>
      <c r="L3">
        <v>80.400000000000006</v>
      </c>
      <c r="M3">
        <v>131133</v>
      </c>
      <c r="N3">
        <v>26079</v>
      </c>
      <c r="O3">
        <v>92477</v>
      </c>
      <c r="P3">
        <v>12577</v>
      </c>
      <c r="Q3">
        <v>25046</v>
      </c>
      <c r="R3">
        <v>18679</v>
      </c>
      <c r="S3">
        <v>358</v>
      </c>
      <c r="T3">
        <v>2068</v>
      </c>
      <c r="U3">
        <v>3941</v>
      </c>
      <c r="V3">
        <v>4903185</v>
      </c>
      <c r="W3">
        <v>131171</v>
      </c>
      <c r="X3">
        <v>19.2</v>
      </c>
      <c r="Y3">
        <v>52</v>
      </c>
      <c r="Z3" t="s">
        <v>132</v>
      </c>
      <c r="AA3">
        <v>58</v>
      </c>
      <c r="AB3">
        <v>214</v>
      </c>
      <c r="AC3" t="s">
        <v>133</v>
      </c>
      <c r="AD3" t="s">
        <v>10</v>
      </c>
      <c r="AE3" t="s">
        <v>134</v>
      </c>
      <c r="AF3" t="s">
        <v>135</v>
      </c>
    </row>
    <row r="4" spans="1:32">
      <c r="A4" t="s">
        <v>50</v>
      </c>
      <c r="B4" t="s">
        <v>136</v>
      </c>
      <c r="C4">
        <v>2019</v>
      </c>
      <c r="D4">
        <v>2858</v>
      </c>
      <c r="E4">
        <v>599.6</v>
      </c>
      <c r="F4">
        <v>2012.6</v>
      </c>
      <c r="G4">
        <v>245.9</v>
      </c>
      <c r="H4">
        <v>584.6</v>
      </c>
      <c r="I4">
        <v>447.8</v>
      </c>
      <c r="J4">
        <v>8</v>
      </c>
      <c r="K4">
        <v>77.2</v>
      </c>
      <c r="L4">
        <v>51.6</v>
      </c>
      <c r="M4">
        <v>86250</v>
      </c>
      <c r="N4">
        <v>18095</v>
      </c>
      <c r="O4">
        <v>60735</v>
      </c>
      <c r="P4">
        <v>7420</v>
      </c>
      <c r="Q4">
        <v>17643</v>
      </c>
      <c r="R4">
        <v>13513</v>
      </c>
      <c r="S4">
        <v>242</v>
      </c>
      <c r="T4">
        <v>2331</v>
      </c>
      <c r="U4">
        <v>1557</v>
      </c>
      <c r="V4">
        <v>3017804</v>
      </c>
      <c r="W4">
        <v>134771</v>
      </c>
      <c r="X4">
        <v>18.7</v>
      </c>
      <c r="Y4">
        <v>47</v>
      </c>
      <c r="Z4" t="s">
        <v>137</v>
      </c>
      <c r="AA4">
        <v>56</v>
      </c>
      <c r="AB4">
        <v>123</v>
      </c>
      <c r="AC4" t="s">
        <v>133</v>
      </c>
      <c r="AD4" t="s">
        <v>10</v>
      </c>
      <c r="AE4" t="s">
        <v>138</v>
      </c>
      <c r="AF4" t="s">
        <v>135</v>
      </c>
    </row>
    <row r="5" spans="1:32">
      <c r="A5" t="s">
        <v>51</v>
      </c>
      <c r="B5" t="s">
        <v>139</v>
      </c>
      <c r="C5">
        <v>2019</v>
      </c>
      <c r="D5">
        <v>2440.5</v>
      </c>
      <c r="E5">
        <v>394.3</v>
      </c>
      <c r="F5">
        <v>1796.9</v>
      </c>
      <c r="G5">
        <v>249.4</v>
      </c>
      <c r="H5">
        <v>455.3</v>
      </c>
      <c r="I5">
        <v>311.89999999999998</v>
      </c>
      <c r="J5">
        <v>5</v>
      </c>
      <c r="K5">
        <v>50.3</v>
      </c>
      <c r="L5">
        <v>88.1</v>
      </c>
      <c r="M5">
        <v>177638</v>
      </c>
      <c r="N5">
        <v>28699</v>
      </c>
      <c r="O5">
        <v>130788</v>
      </c>
      <c r="P5">
        <v>18151</v>
      </c>
      <c r="Q5">
        <v>33141</v>
      </c>
      <c r="R5">
        <v>22704</v>
      </c>
      <c r="S5">
        <v>365</v>
      </c>
      <c r="T5">
        <v>3662</v>
      </c>
      <c r="U5">
        <v>6410</v>
      </c>
      <c r="V5">
        <v>7278717</v>
      </c>
      <c r="W5">
        <v>294207</v>
      </c>
      <c r="X5">
        <v>18.2</v>
      </c>
      <c r="Y5">
        <v>26</v>
      </c>
      <c r="Z5" t="s">
        <v>140</v>
      </c>
      <c r="AA5">
        <v>89</v>
      </c>
      <c r="AB5">
        <v>339</v>
      </c>
      <c r="AC5" t="s">
        <v>133</v>
      </c>
      <c r="AD5" t="s">
        <v>9</v>
      </c>
      <c r="AE5" t="s">
        <v>134</v>
      </c>
      <c r="AF5" t="s">
        <v>141</v>
      </c>
    </row>
    <row r="6" spans="1:32">
      <c r="A6" t="s">
        <v>52</v>
      </c>
      <c r="B6" t="s">
        <v>142</v>
      </c>
      <c r="C6">
        <v>2019</v>
      </c>
      <c r="D6">
        <v>2331.1999999999998</v>
      </c>
      <c r="E6">
        <v>386.1</v>
      </c>
      <c r="F6">
        <v>1586.3</v>
      </c>
      <c r="G6">
        <v>358.8</v>
      </c>
      <c r="H6">
        <v>441.2</v>
      </c>
      <c r="I6">
        <v>267.10000000000002</v>
      </c>
      <c r="J6">
        <v>4.3</v>
      </c>
      <c r="K6">
        <v>37.5</v>
      </c>
      <c r="L6">
        <v>132.4</v>
      </c>
      <c r="M6">
        <v>921114</v>
      </c>
      <c r="N6">
        <v>152555</v>
      </c>
      <c r="O6">
        <v>626802</v>
      </c>
      <c r="P6">
        <v>141757</v>
      </c>
      <c r="Q6">
        <v>174331</v>
      </c>
      <c r="R6">
        <v>105541</v>
      </c>
      <c r="S6">
        <v>1690</v>
      </c>
      <c r="T6">
        <v>14799</v>
      </c>
      <c r="U6">
        <v>52301</v>
      </c>
      <c r="V6">
        <v>39512223</v>
      </c>
      <c r="W6">
        <v>403466</v>
      </c>
      <c r="X6">
        <v>16.399999999999999</v>
      </c>
      <c r="Y6">
        <v>64</v>
      </c>
      <c r="Z6" t="s">
        <v>140</v>
      </c>
      <c r="AA6">
        <v>94</v>
      </c>
      <c r="AB6">
        <v>2905</v>
      </c>
      <c r="AC6" t="s">
        <v>143</v>
      </c>
      <c r="AD6" t="s">
        <v>9</v>
      </c>
      <c r="AE6" t="s">
        <v>134</v>
      </c>
      <c r="AF6" t="s">
        <v>144</v>
      </c>
    </row>
    <row r="7" spans="1:32">
      <c r="A7" t="s">
        <v>53</v>
      </c>
      <c r="B7" t="s">
        <v>145</v>
      </c>
      <c r="C7">
        <v>2019</v>
      </c>
      <c r="D7">
        <v>2590.6999999999998</v>
      </c>
      <c r="E7">
        <v>348.4</v>
      </c>
      <c r="F7">
        <v>1858.3</v>
      </c>
      <c r="G7">
        <v>384</v>
      </c>
      <c r="H7">
        <v>381</v>
      </c>
      <c r="I7">
        <v>246.3</v>
      </c>
      <c r="J7">
        <v>3.8</v>
      </c>
      <c r="K7">
        <v>67.2</v>
      </c>
      <c r="L7">
        <v>63.6</v>
      </c>
      <c r="M7">
        <v>149189</v>
      </c>
      <c r="N7">
        <v>20064</v>
      </c>
      <c r="O7">
        <v>107012</v>
      </c>
      <c r="P7">
        <v>22113</v>
      </c>
      <c r="Q7">
        <v>21938</v>
      </c>
      <c r="R7">
        <v>14185</v>
      </c>
      <c r="S7">
        <v>218</v>
      </c>
      <c r="T7">
        <v>3872</v>
      </c>
      <c r="U7">
        <v>3663</v>
      </c>
      <c r="V7">
        <v>5758736</v>
      </c>
      <c r="W7">
        <v>268431</v>
      </c>
      <c r="X7">
        <v>12.1</v>
      </c>
      <c r="Y7">
        <v>54</v>
      </c>
      <c r="Z7" t="s">
        <v>146</v>
      </c>
      <c r="AA7">
        <v>86</v>
      </c>
      <c r="AB7">
        <v>361</v>
      </c>
      <c r="AC7" t="s">
        <v>133</v>
      </c>
      <c r="AD7" t="s">
        <v>9</v>
      </c>
      <c r="AE7" t="s">
        <v>138</v>
      </c>
      <c r="AF7" t="s">
        <v>147</v>
      </c>
    </row>
    <row r="8" spans="1:32">
      <c r="A8" t="s">
        <v>54</v>
      </c>
      <c r="B8" t="s">
        <v>148</v>
      </c>
      <c r="C8">
        <v>2019</v>
      </c>
      <c r="D8">
        <v>1426.6</v>
      </c>
      <c r="E8">
        <v>180.7</v>
      </c>
      <c r="F8">
        <v>1078.7</v>
      </c>
      <c r="G8">
        <v>167.3</v>
      </c>
      <c r="H8">
        <v>183.6</v>
      </c>
      <c r="I8">
        <v>105</v>
      </c>
      <c r="J8">
        <v>2.9</v>
      </c>
      <c r="K8">
        <v>21.6</v>
      </c>
      <c r="L8">
        <v>54.1</v>
      </c>
      <c r="M8">
        <v>50862</v>
      </c>
      <c r="N8">
        <v>6441</v>
      </c>
      <c r="O8">
        <v>38457</v>
      </c>
      <c r="P8">
        <v>5964</v>
      </c>
      <c r="Q8">
        <v>6546</v>
      </c>
      <c r="R8">
        <v>3742</v>
      </c>
      <c r="S8">
        <v>104</v>
      </c>
      <c r="T8">
        <v>771</v>
      </c>
      <c r="U8">
        <v>1929</v>
      </c>
      <c r="V8">
        <v>3565287</v>
      </c>
      <c r="W8">
        <v>12542</v>
      </c>
      <c r="X8">
        <v>10.8</v>
      </c>
      <c r="Y8">
        <v>68</v>
      </c>
      <c r="Z8" t="s">
        <v>132</v>
      </c>
      <c r="AA8">
        <v>86</v>
      </c>
      <c r="AB8">
        <v>265</v>
      </c>
      <c r="AC8" t="s">
        <v>128</v>
      </c>
      <c r="AD8" t="s">
        <v>45</v>
      </c>
      <c r="AE8" t="s">
        <v>134</v>
      </c>
      <c r="AF8" t="s">
        <v>149</v>
      </c>
    </row>
    <row r="9" spans="1:32">
      <c r="A9" t="s">
        <v>55</v>
      </c>
      <c r="B9" t="s">
        <v>150</v>
      </c>
      <c r="C9">
        <v>2019</v>
      </c>
      <c r="D9">
        <v>2252.1999999999998</v>
      </c>
      <c r="E9">
        <v>304.8</v>
      </c>
      <c r="F9">
        <v>1782.7</v>
      </c>
      <c r="G9">
        <v>164.7</v>
      </c>
      <c r="H9">
        <v>422.6</v>
      </c>
      <c r="I9">
        <v>304.7</v>
      </c>
      <c r="J9">
        <v>4.9000000000000004</v>
      </c>
      <c r="K9">
        <v>31.8</v>
      </c>
      <c r="L9">
        <v>81.099999999999994</v>
      </c>
      <c r="M9">
        <v>21931</v>
      </c>
      <c r="N9">
        <v>2968</v>
      </c>
      <c r="O9">
        <v>17359</v>
      </c>
      <c r="P9">
        <v>1604</v>
      </c>
      <c r="Q9">
        <v>4115</v>
      </c>
      <c r="R9">
        <v>2967</v>
      </c>
      <c r="S9">
        <v>48</v>
      </c>
      <c r="T9">
        <v>310</v>
      </c>
      <c r="U9">
        <v>790</v>
      </c>
      <c r="V9">
        <v>973764</v>
      </c>
      <c r="W9">
        <v>5047</v>
      </c>
      <c r="X9">
        <v>13</v>
      </c>
      <c r="Y9">
        <v>65</v>
      </c>
      <c r="Z9" t="s">
        <v>127</v>
      </c>
      <c r="AA9">
        <v>83</v>
      </c>
      <c r="AB9">
        <v>70</v>
      </c>
      <c r="AC9" t="s">
        <v>128</v>
      </c>
      <c r="AD9" t="s">
        <v>10</v>
      </c>
      <c r="AE9" t="s">
        <v>134</v>
      </c>
      <c r="AF9" t="s">
        <v>149</v>
      </c>
    </row>
    <row r="10" spans="1:32">
      <c r="A10" t="s">
        <v>56</v>
      </c>
      <c r="B10" t="s">
        <v>151</v>
      </c>
      <c r="C10">
        <v>2019</v>
      </c>
      <c r="D10">
        <v>2145.6999999999998</v>
      </c>
      <c r="E10">
        <v>295.2</v>
      </c>
      <c r="F10">
        <v>1668.7</v>
      </c>
      <c r="G10">
        <v>181.8</v>
      </c>
      <c r="H10">
        <v>378.4</v>
      </c>
      <c r="I10">
        <v>258.3</v>
      </c>
      <c r="J10">
        <v>5.2</v>
      </c>
      <c r="K10">
        <v>39.4</v>
      </c>
      <c r="L10">
        <v>75.5</v>
      </c>
      <c r="M10">
        <v>460846</v>
      </c>
      <c r="N10">
        <v>63396</v>
      </c>
      <c r="O10">
        <v>358402</v>
      </c>
      <c r="P10">
        <v>39048</v>
      </c>
      <c r="Q10">
        <v>81270</v>
      </c>
      <c r="R10">
        <v>55475</v>
      </c>
      <c r="S10">
        <v>1122</v>
      </c>
      <c r="T10">
        <v>8456</v>
      </c>
      <c r="U10">
        <v>16217</v>
      </c>
      <c r="V10">
        <v>21477737</v>
      </c>
      <c r="W10">
        <v>138887</v>
      </c>
      <c r="X10">
        <v>16.600000000000001</v>
      </c>
      <c r="Y10">
        <v>56</v>
      </c>
      <c r="Z10" t="s">
        <v>127</v>
      </c>
      <c r="AA10">
        <v>92</v>
      </c>
      <c r="AB10">
        <v>1013</v>
      </c>
      <c r="AC10" t="s">
        <v>133</v>
      </c>
      <c r="AD10" t="s">
        <v>10</v>
      </c>
      <c r="AE10" t="s">
        <v>134</v>
      </c>
      <c r="AF10" t="s">
        <v>135</v>
      </c>
    </row>
    <row r="11" spans="1:32">
      <c r="A11" t="s">
        <v>57</v>
      </c>
      <c r="B11" t="s">
        <v>152</v>
      </c>
      <c r="C11">
        <v>2019</v>
      </c>
      <c r="D11">
        <v>2375.8000000000002</v>
      </c>
      <c r="E11">
        <v>372.1</v>
      </c>
      <c r="F11">
        <v>1779.8</v>
      </c>
      <c r="G11">
        <v>223.9</v>
      </c>
      <c r="H11">
        <v>340.7</v>
      </c>
      <c r="I11">
        <v>232</v>
      </c>
      <c r="J11">
        <v>6.2</v>
      </c>
      <c r="K11">
        <v>27.5</v>
      </c>
      <c r="L11">
        <v>75</v>
      </c>
      <c r="M11">
        <v>252249</v>
      </c>
      <c r="N11">
        <v>39506</v>
      </c>
      <c r="O11">
        <v>188967</v>
      </c>
      <c r="P11">
        <v>23776</v>
      </c>
      <c r="Q11">
        <v>36170</v>
      </c>
      <c r="R11">
        <v>24633</v>
      </c>
      <c r="S11">
        <v>654</v>
      </c>
      <c r="T11">
        <v>2922</v>
      </c>
      <c r="U11">
        <v>7961</v>
      </c>
      <c r="V11">
        <v>10617423</v>
      </c>
      <c r="W11">
        <v>10617423</v>
      </c>
      <c r="X11">
        <v>18.399999999999999</v>
      </c>
      <c r="Y11">
        <v>43</v>
      </c>
      <c r="Z11" t="s">
        <v>132</v>
      </c>
      <c r="AA11">
        <v>74</v>
      </c>
      <c r="AB11">
        <v>571</v>
      </c>
      <c r="AC11" t="s">
        <v>133</v>
      </c>
      <c r="AD11" t="s">
        <v>10</v>
      </c>
      <c r="AE11" t="s">
        <v>134</v>
      </c>
      <c r="AF11" t="s">
        <v>135</v>
      </c>
    </row>
    <row r="12" spans="1:32">
      <c r="A12" t="s">
        <v>58</v>
      </c>
      <c r="B12" t="s">
        <v>153</v>
      </c>
      <c r="C12">
        <v>2019</v>
      </c>
      <c r="D12">
        <v>2841.2</v>
      </c>
      <c r="E12">
        <v>377.2</v>
      </c>
      <c r="F12">
        <v>2093</v>
      </c>
      <c r="G12">
        <v>371.1</v>
      </c>
      <c r="H12">
        <v>285.5</v>
      </c>
      <c r="I12">
        <v>148.19999999999999</v>
      </c>
      <c r="J12">
        <v>3.4</v>
      </c>
      <c r="K12">
        <v>54</v>
      </c>
      <c r="L12">
        <v>79.900000000000006</v>
      </c>
      <c r="M12">
        <v>40228</v>
      </c>
      <c r="N12">
        <v>5340</v>
      </c>
      <c r="O12">
        <v>29634</v>
      </c>
      <c r="P12">
        <v>5254</v>
      </c>
      <c r="Q12">
        <v>4042</v>
      </c>
      <c r="R12">
        <v>2098</v>
      </c>
      <c r="S12">
        <v>48</v>
      </c>
      <c r="T12">
        <v>765</v>
      </c>
      <c r="U12">
        <v>1131</v>
      </c>
      <c r="V12">
        <v>1415872</v>
      </c>
      <c r="W12">
        <v>16635</v>
      </c>
      <c r="X12">
        <v>11.5</v>
      </c>
      <c r="Y12">
        <v>53</v>
      </c>
      <c r="Z12" t="s">
        <v>140</v>
      </c>
      <c r="AA12">
        <v>86</v>
      </c>
      <c r="AB12">
        <v>90</v>
      </c>
      <c r="AC12" t="s">
        <v>128</v>
      </c>
      <c r="AD12" t="s">
        <v>9</v>
      </c>
      <c r="AE12" t="s">
        <v>129</v>
      </c>
      <c r="AF12" t="s">
        <v>154</v>
      </c>
    </row>
    <row r="13" spans="1:32">
      <c r="A13" t="s">
        <v>59</v>
      </c>
      <c r="B13" t="s">
        <v>155</v>
      </c>
      <c r="C13">
        <v>2019</v>
      </c>
      <c r="D13">
        <v>1733.7</v>
      </c>
      <c r="E13">
        <v>371.1</v>
      </c>
      <c r="F13">
        <v>1199.5999999999999</v>
      </c>
      <c r="G13">
        <v>163</v>
      </c>
      <c r="H13">
        <v>266.60000000000002</v>
      </c>
      <c r="I13">
        <v>200.4</v>
      </c>
      <c r="J13">
        <v>1.9</v>
      </c>
      <c r="K13">
        <v>36.9</v>
      </c>
      <c r="L13">
        <v>27.4</v>
      </c>
      <c r="M13">
        <v>54699</v>
      </c>
      <c r="N13">
        <v>11710</v>
      </c>
      <c r="O13">
        <v>37847</v>
      </c>
      <c r="P13">
        <v>5142</v>
      </c>
      <c r="Q13">
        <v>8410</v>
      </c>
      <c r="R13">
        <v>6323</v>
      </c>
      <c r="S13">
        <v>60</v>
      </c>
      <c r="T13">
        <v>1164</v>
      </c>
      <c r="U13">
        <v>863</v>
      </c>
      <c r="V13">
        <v>3155070</v>
      </c>
      <c r="W13">
        <v>144669</v>
      </c>
      <c r="X13">
        <v>12.3</v>
      </c>
      <c r="Y13">
        <v>68</v>
      </c>
      <c r="Z13" t="s">
        <v>146</v>
      </c>
      <c r="AA13">
        <v>63</v>
      </c>
      <c r="AB13">
        <v>181</v>
      </c>
      <c r="AC13" t="s">
        <v>128</v>
      </c>
      <c r="AD13" t="s">
        <v>44</v>
      </c>
      <c r="AE13" t="s">
        <v>138</v>
      </c>
      <c r="AF13" t="s">
        <v>149</v>
      </c>
    </row>
    <row r="14" spans="1:32">
      <c r="A14" t="s">
        <v>60</v>
      </c>
      <c r="B14" t="s">
        <v>156</v>
      </c>
      <c r="C14">
        <v>2019</v>
      </c>
      <c r="D14">
        <v>1219.5</v>
      </c>
      <c r="E14">
        <v>219.7</v>
      </c>
      <c r="F14">
        <v>911.8</v>
      </c>
      <c r="G14">
        <v>87.9</v>
      </c>
      <c r="H14">
        <v>223.8</v>
      </c>
      <c r="I14">
        <v>167.9</v>
      </c>
      <c r="J14">
        <v>2</v>
      </c>
      <c r="K14">
        <v>45.3</v>
      </c>
      <c r="L14">
        <v>8.6999999999999993</v>
      </c>
      <c r="M14">
        <v>21793</v>
      </c>
      <c r="N14">
        <v>3927</v>
      </c>
      <c r="O14">
        <v>16295</v>
      </c>
      <c r="P14">
        <v>1571</v>
      </c>
      <c r="Q14">
        <v>4000</v>
      </c>
      <c r="R14">
        <v>3001</v>
      </c>
      <c r="S14">
        <v>35</v>
      </c>
      <c r="T14">
        <v>809</v>
      </c>
      <c r="U14">
        <v>155</v>
      </c>
      <c r="V14">
        <v>1787065</v>
      </c>
      <c r="W14">
        <v>214045</v>
      </c>
      <c r="X14">
        <v>14.8</v>
      </c>
      <c r="Y14">
        <v>47</v>
      </c>
      <c r="Z14" t="s">
        <v>137</v>
      </c>
      <c r="AA14">
        <v>69</v>
      </c>
      <c r="AB14">
        <v>75</v>
      </c>
      <c r="AC14" t="s">
        <v>133</v>
      </c>
      <c r="AD14" t="s">
        <v>9</v>
      </c>
      <c r="AE14" t="s">
        <v>134</v>
      </c>
      <c r="AF14" t="s">
        <v>147</v>
      </c>
    </row>
    <row r="15" spans="1:32">
      <c r="A15" t="s">
        <v>61</v>
      </c>
      <c r="B15" t="s">
        <v>157</v>
      </c>
      <c r="C15">
        <v>2019</v>
      </c>
      <c r="D15">
        <v>1846.5</v>
      </c>
      <c r="E15">
        <v>271.7</v>
      </c>
      <c r="F15">
        <v>1426.6</v>
      </c>
      <c r="G15">
        <v>148.19999999999999</v>
      </c>
      <c r="H15">
        <v>406.9</v>
      </c>
      <c r="I15">
        <v>254</v>
      </c>
      <c r="J15">
        <v>6.6</v>
      </c>
      <c r="K15">
        <v>48</v>
      </c>
      <c r="L15">
        <v>98.4</v>
      </c>
      <c r="M15">
        <v>233984</v>
      </c>
      <c r="N15">
        <v>34433</v>
      </c>
      <c r="O15">
        <v>180776</v>
      </c>
      <c r="P15">
        <v>18775</v>
      </c>
      <c r="Q15">
        <v>51561</v>
      </c>
      <c r="R15">
        <v>32187</v>
      </c>
      <c r="S15">
        <v>832</v>
      </c>
      <c r="T15">
        <v>6078</v>
      </c>
      <c r="U15">
        <v>12464</v>
      </c>
      <c r="V15">
        <v>12671821</v>
      </c>
      <c r="W15">
        <v>143793</v>
      </c>
      <c r="X15">
        <v>14.3</v>
      </c>
      <c r="Y15">
        <v>61</v>
      </c>
      <c r="Z15" t="s">
        <v>132</v>
      </c>
      <c r="AA15">
        <v>87</v>
      </c>
      <c r="AB15">
        <v>831</v>
      </c>
      <c r="AC15" t="s">
        <v>128</v>
      </c>
      <c r="AD15" t="s">
        <v>44</v>
      </c>
      <c r="AE15" t="s">
        <v>138</v>
      </c>
      <c r="AF15" t="s">
        <v>149</v>
      </c>
    </row>
    <row r="16" spans="1:32">
      <c r="A16" t="s">
        <v>62</v>
      </c>
      <c r="B16" t="s">
        <v>158</v>
      </c>
      <c r="C16">
        <v>2019</v>
      </c>
      <c r="D16">
        <v>1971</v>
      </c>
      <c r="E16">
        <v>323.7</v>
      </c>
      <c r="F16">
        <v>1443.4</v>
      </c>
      <c r="G16">
        <v>203.8</v>
      </c>
      <c r="H16">
        <v>370.8</v>
      </c>
      <c r="I16">
        <v>249.3</v>
      </c>
      <c r="J16">
        <v>5.6</v>
      </c>
      <c r="K16">
        <v>36.799999999999997</v>
      </c>
      <c r="L16">
        <v>79.2</v>
      </c>
      <c r="M16">
        <v>132694</v>
      </c>
      <c r="N16">
        <v>21795</v>
      </c>
      <c r="O16">
        <v>97176</v>
      </c>
      <c r="P16">
        <v>13723</v>
      </c>
      <c r="Q16">
        <v>24966</v>
      </c>
      <c r="R16">
        <v>16783</v>
      </c>
      <c r="S16">
        <v>377</v>
      </c>
      <c r="T16">
        <v>2475</v>
      </c>
      <c r="U16">
        <v>5331</v>
      </c>
      <c r="V16">
        <v>6732219</v>
      </c>
      <c r="W16">
        <v>92789</v>
      </c>
      <c r="X16">
        <v>15.2</v>
      </c>
      <c r="Y16">
        <v>61</v>
      </c>
      <c r="Z16" t="s">
        <v>132</v>
      </c>
      <c r="AA16">
        <v>71</v>
      </c>
      <c r="AB16">
        <v>349</v>
      </c>
      <c r="AC16" t="s">
        <v>133</v>
      </c>
      <c r="AD16" t="s">
        <v>44</v>
      </c>
      <c r="AE16" t="s">
        <v>138</v>
      </c>
      <c r="AF16" t="s">
        <v>149</v>
      </c>
    </row>
    <row r="17" spans="1:32">
      <c r="A17" t="s">
        <v>63</v>
      </c>
      <c r="B17" t="s">
        <v>159</v>
      </c>
      <c r="C17">
        <v>2019</v>
      </c>
      <c r="D17">
        <v>2314.5</v>
      </c>
      <c r="E17">
        <v>342.7</v>
      </c>
      <c r="F17">
        <v>1721.9</v>
      </c>
      <c r="G17">
        <v>249.9</v>
      </c>
      <c r="H17">
        <v>410.8</v>
      </c>
      <c r="I17">
        <v>314.2</v>
      </c>
      <c r="J17">
        <v>3.6</v>
      </c>
      <c r="K17">
        <v>48.6</v>
      </c>
      <c r="L17">
        <v>44.4</v>
      </c>
      <c r="M17">
        <v>67428</v>
      </c>
      <c r="N17">
        <v>9984</v>
      </c>
      <c r="O17">
        <v>50165</v>
      </c>
      <c r="P17">
        <v>7279</v>
      </c>
      <c r="Q17">
        <v>11968</v>
      </c>
      <c r="R17">
        <v>9154</v>
      </c>
      <c r="S17">
        <v>105</v>
      </c>
      <c r="T17">
        <v>1416</v>
      </c>
      <c r="U17">
        <v>1293</v>
      </c>
      <c r="V17">
        <v>2913314</v>
      </c>
      <c r="W17">
        <v>211754</v>
      </c>
      <c r="X17">
        <v>13.5</v>
      </c>
      <c r="Y17">
        <v>53</v>
      </c>
      <c r="Z17" t="s">
        <v>137</v>
      </c>
      <c r="AA17">
        <v>72</v>
      </c>
      <c r="AB17">
        <v>160</v>
      </c>
      <c r="AC17" t="s">
        <v>133</v>
      </c>
      <c r="AD17" t="s">
        <v>44</v>
      </c>
      <c r="AE17" t="s">
        <v>138</v>
      </c>
      <c r="AF17" t="s">
        <v>149</v>
      </c>
    </row>
    <row r="18" spans="1:32">
      <c r="A18" t="s">
        <v>64</v>
      </c>
      <c r="B18" t="s">
        <v>160</v>
      </c>
      <c r="C18">
        <v>2019</v>
      </c>
      <c r="D18">
        <v>1897.4</v>
      </c>
      <c r="E18">
        <v>345.7</v>
      </c>
      <c r="F18">
        <v>1323.5</v>
      </c>
      <c r="G18">
        <v>228.2</v>
      </c>
      <c r="H18">
        <v>217.1</v>
      </c>
      <c r="I18">
        <v>128.6</v>
      </c>
      <c r="J18">
        <v>4.9000000000000004</v>
      </c>
      <c r="K18">
        <v>35.200000000000003</v>
      </c>
      <c r="L18">
        <v>48.4</v>
      </c>
      <c r="M18">
        <v>84769</v>
      </c>
      <c r="N18">
        <v>15443</v>
      </c>
      <c r="O18">
        <v>59130</v>
      </c>
      <c r="P18">
        <v>10196</v>
      </c>
      <c r="Q18">
        <v>9701</v>
      </c>
      <c r="R18">
        <v>5747</v>
      </c>
      <c r="S18">
        <v>221</v>
      </c>
      <c r="T18">
        <v>1572</v>
      </c>
      <c r="U18">
        <v>2161</v>
      </c>
      <c r="V18">
        <v>4467673</v>
      </c>
      <c r="W18">
        <v>102269</v>
      </c>
      <c r="X18">
        <v>19</v>
      </c>
      <c r="Y18">
        <v>49</v>
      </c>
      <c r="Z18" t="s">
        <v>132</v>
      </c>
      <c r="AA18">
        <v>59</v>
      </c>
      <c r="AB18">
        <v>199</v>
      </c>
      <c r="AC18" t="s">
        <v>143</v>
      </c>
      <c r="AD18" t="s">
        <v>10</v>
      </c>
      <c r="AE18" t="s">
        <v>138</v>
      </c>
      <c r="AF18" t="s">
        <v>135</v>
      </c>
    </row>
    <row r="19" spans="1:32">
      <c r="A19" t="s">
        <v>65</v>
      </c>
      <c r="B19" t="s">
        <v>161</v>
      </c>
      <c r="C19">
        <v>2019</v>
      </c>
      <c r="D19">
        <v>3162</v>
      </c>
      <c r="E19">
        <v>579</v>
      </c>
      <c r="F19">
        <v>2352.4</v>
      </c>
      <c r="G19">
        <v>230.5</v>
      </c>
      <c r="H19">
        <v>549.29999999999995</v>
      </c>
      <c r="I19">
        <v>402.1</v>
      </c>
      <c r="J19">
        <v>11.7</v>
      </c>
      <c r="K19">
        <v>48.9</v>
      </c>
      <c r="L19">
        <v>86.6</v>
      </c>
      <c r="M19">
        <v>146993</v>
      </c>
      <c r="N19">
        <v>26918</v>
      </c>
      <c r="O19">
        <v>109359</v>
      </c>
      <c r="P19">
        <v>10716</v>
      </c>
      <c r="Q19">
        <v>25537</v>
      </c>
      <c r="R19">
        <v>18695</v>
      </c>
      <c r="S19">
        <v>544</v>
      </c>
      <c r="T19">
        <v>2273</v>
      </c>
      <c r="U19">
        <v>4025</v>
      </c>
      <c r="V19">
        <v>4648794</v>
      </c>
      <c r="W19">
        <v>111898</v>
      </c>
      <c r="X19">
        <v>19.899999999999999</v>
      </c>
      <c r="Y19">
        <v>50</v>
      </c>
      <c r="Z19" t="s">
        <v>132</v>
      </c>
      <c r="AA19">
        <v>72</v>
      </c>
      <c r="AB19">
        <v>244</v>
      </c>
      <c r="AC19" t="s">
        <v>133</v>
      </c>
      <c r="AD19" t="s">
        <v>10</v>
      </c>
      <c r="AE19" t="s">
        <v>134</v>
      </c>
      <c r="AF19" t="s">
        <v>135</v>
      </c>
    </row>
    <row r="20" spans="1:32">
      <c r="A20" t="s">
        <v>66</v>
      </c>
      <c r="B20" t="s">
        <v>162</v>
      </c>
      <c r="C20">
        <v>2019</v>
      </c>
      <c r="D20">
        <v>1179.8</v>
      </c>
      <c r="E20">
        <v>179</v>
      </c>
      <c r="F20">
        <v>911.8</v>
      </c>
      <c r="G20">
        <v>89</v>
      </c>
      <c r="H20">
        <v>327.60000000000002</v>
      </c>
      <c r="I20">
        <v>241</v>
      </c>
      <c r="J20">
        <v>2.2000000000000002</v>
      </c>
      <c r="K20">
        <v>32</v>
      </c>
      <c r="L20">
        <v>52.4</v>
      </c>
      <c r="M20">
        <v>81317</v>
      </c>
      <c r="N20">
        <v>12341</v>
      </c>
      <c r="O20">
        <v>62844</v>
      </c>
      <c r="P20">
        <v>6132</v>
      </c>
      <c r="Q20">
        <v>22578</v>
      </c>
      <c r="R20">
        <v>16609</v>
      </c>
      <c r="S20">
        <v>152</v>
      </c>
      <c r="T20">
        <v>2204</v>
      </c>
      <c r="U20">
        <v>3613</v>
      </c>
      <c r="V20">
        <v>6892503</v>
      </c>
      <c r="W20">
        <v>20202</v>
      </c>
      <c r="X20">
        <v>11.7</v>
      </c>
      <c r="Y20">
        <v>73</v>
      </c>
      <c r="Z20" t="s">
        <v>127</v>
      </c>
      <c r="AA20">
        <v>91</v>
      </c>
      <c r="AB20">
        <v>552</v>
      </c>
      <c r="AC20" t="s">
        <v>128</v>
      </c>
      <c r="AD20" t="s">
        <v>45</v>
      </c>
      <c r="AE20" t="s">
        <v>134</v>
      </c>
      <c r="AF20" t="s">
        <v>149</v>
      </c>
    </row>
    <row r="21" spans="1:32">
      <c r="A21" t="s">
        <v>67</v>
      </c>
      <c r="B21" t="s">
        <v>163</v>
      </c>
      <c r="C21">
        <v>2019</v>
      </c>
      <c r="D21">
        <v>1950.2</v>
      </c>
      <c r="E21">
        <v>278.89999999999998</v>
      </c>
      <c r="F21">
        <v>1485</v>
      </c>
      <c r="G21">
        <v>186.2</v>
      </c>
      <c r="H21">
        <v>454.1</v>
      </c>
      <c r="I21">
        <v>261.3</v>
      </c>
      <c r="J21">
        <v>9</v>
      </c>
      <c r="K21">
        <v>31.6</v>
      </c>
      <c r="L21">
        <v>152.19999999999999</v>
      </c>
      <c r="M21">
        <v>117901</v>
      </c>
      <c r="N21">
        <v>16862</v>
      </c>
      <c r="O21">
        <v>89780</v>
      </c>
      <c r="P21">
        <v>11259</v>
      </c>
      <c r="Q21">
        <v>27456</v>
      </c>
      <c r="R21">
        <v>15798</v>
      </c>
      <c r="S21">
        <v>542</v>
      </c>
      <c r="T21">
        <v>1913</v>
      </c>
      <c r="U21">
        <v>9203</v>
      </c>
      <c r="V21">
        <v>6045680</v>
      </c>
      <c r="W21">
        <v>25142</v>
      </c>
      <c r="X21">
        <v>10.4</v>
      </c>
      <c r="Y21">
        <v>68</v>
      </c>
      <c r="Z21" t="s">
        <v>132</v>
      </c>
      <c r="AA21">
        <v>86</v>
      </c>
      <c r="AB21">
        <v>397</v>
      </c>
      <c r="AC21" t="s">
        <v>128</v>
      </c>
      <c r="AD21" t="s">
        <v>10</v>
      </c>
      <c r="AE21" t="s">
        <v>134</v>
      </c>
      <c r="AF21" t="s">
        <v>149</v>
      </c>
    </row>
    <row r="22" spans="1:32">
      <c r="A22" t="s">
        <v>68</v>
      </c>
      <c r="B22" t="s">
        <v>164</v>
      </c>
      <c r="C22">
        <v>2019</v>
      </c>
      <c r="D22">
        <v>1245.5999999999999</v>
      </c>
      <c r="E22">
        <v>174.8</v>
      </c>
      <c r="F22">
        <v>1016.7</v>
      </c>
      <c r="G22">
        <v>54</v>
      </c>
      <c r="H22">
        <v>115.2</v>
      </c>
      <c r="I22">
        <v>61.3</v>
      </c>
      <c r="J22">
        <v>1.5</v>
      </c>
      <c r="K22">
        <v>38.4</v>
      </c>
      <c r="L22">
        <v>14</v>
      </c>
      <c r="M22">
        <v>16743</v>
      </c>
      <c r="N22">
        <v>2350</v>
      </c>
      <c r="O22">
        <v>13667</v>
      </c>
      <c r="P22">
        <v>726</v>
      </c>
      <c r="Q22">
        <v>1548</v>
      </c>
      <c r="R22">
        <v>824</v>
      </c>
      <c r="S22">
        <v>20</v>
      </c>
      <c r="T22">
        <v>516</v>
      </c>
      <c r="U22">
        <v>188</v>
      </c>
      <c r="V22">
        <v>1344212</v>
      </c>
      <c r="W22">
        <v>79883</v>
      </c>
      <c r="X22">
        <v>14</v>
      </c>
      <c r="Y22">
        <v>58</v>
      </c>
      <c r="Z22" t="s">
        <v>146</v>
      </c>
      <c r="AA22">
        <v>39</v>
      </c>
      <c r="AB22">
        <v>63</v>
      </c>
      <c r="AC22" t="s">
        <v>128</v>
      </c>
      <c r="AD22" t="s">
        <v>45</v>
      </c>
      <c r="AE22" t="s">
        <v>134</v>
      </c>
      <c r="AF22" t="s">
        <v>149</v>
      </c>
    </row>
    <row r="23" spans="1:32">
      <c r="A23" t="s">
        <v>69</v>
      </c>
      <c r="B23" t="s">
        <v>165</v>
      </c>
      <c r="C23">
        <v>2019</v>
      </c>
      <c r="D23">
        <v>1585</v>
      </c>
      <c r="E23">
        <v>286.10000000000002</v>
      </c>
      <c r="F23">
        <v>1121.3</v>
      </c>
      <c r="G23">
        <v>177.7</v>
      </c>
      <c r="H23">
        <v>437.4</v>
      </c>
      <c r="I23">
        <v>305.89999999999998</v>
      </c>
      <c r="J23">
        <v>5.6</v>
      </c>
      <c r="K23">
        <v>72.400000000000006</v>
      </c>
      <c r="L23">
        <v>53.6</v>
      </c>
      <c r="M23">
        <v>158296</v>
      </c>
      <c r="N23">
        <v>28572</v>
      </c>
      <c r="O23">
        <v>111980</v>
      </c>
      <c r="P23">
        <v>17744</v>
      </c>
      <c r="Q23">
        <v>43686</v>
      </c>
      <c r="R23">
        <v>30545</v>
      </c>
      <c r="S23">
        <v>556</v>
      </c>
      <c r="T23">
        <v>7235</v>
      </c>
      <c r="U23">
        <v>5350</v>
      </c>
      <c r="V23">
        <v>9986857</v>
      </c>
      <c r="W23">
        <v>146435</v>
      </c>
      <c r="X23">
        <v>16.2</v>
      </c>
      <c r="Y23">
        <v>62</v>
      </c>
      <c r="Z23" t="s">
        <v>127</v>
      </c>
      <c r="AA23">
        <v>74</v>
      </c>
      <c r="AB23">
        <v>502</v>
      </c>
      <c r="AC23" t="s">
        <v>128</v>
      </c>
      <c r="AD23" t="s">
        <v>44</v>
      </c>
      <c r="AE23" t="s">
        <v>134</v>
      </c>
      <c r="AF23" t="s">
        <v>149</v>
      </c>
    </row>
    <row r="24" spans="1:32">
      <c r="A24" t="s">
        <v>70</v>
      </c>
      <c r="B24" t="s">
        <v>166</v>
      </c>
      <c r="C24">
        <v>2019</v>
      </c>
      <c r="D24">
        <v>2078.8000000000002</v>
      </c>
      <c r="E24">
        <v>282.39999999999998</v>
      </c>
      <c r="F24">
        <v>1597.5</v>
      </c>
      <c r="G24">
        <v>198.9</v>
      </c>
      <c r="H24">
        <v>236.4</v>
      </c>
      <c r="I24">
        <v>135.1</v>
      </c>
      <c r="J24">
        <v>2.1</v>
      </c>
      <c r="K24">
        <v>43.4</v>
      </c>
      <c r="L24">
        <v>55.8</v>
      </c>
      <c r="M24">
        <v>117236</v>
      </c>
      <c r="N24">
        <v>15927</v>
      </c>
      <c r="O24">
        <v>90092</v>
      </c>
      <c r="P24">
        <v>11217</v>
      </c>
      <c r="Q24">
        <v>13332</v>
      </c>
      <c r="R24">
        <v>7618</v>
      </c>
      <c r="S24">
        <v>117</v>
      </c>
      <c r="T24">
        <v>2448</v>
      </c>
      <c r="U24">
        <v>3149</v>
      </c>
      <c r="V24">
        <v>5639632</v>
      </c>
      <c r="W24">
        <v>206232</v>
      </c>
      <c r="X24">
        <v>11.4</v>
      </c>
      <c r="Y24">
        <v>65</v>
      </c>
      <c r="Z24" t="s">
        <v>146</v>
      </c>
      <c r="AA24">
        <v>72</v>
      </c>
      <c r="AB24">
        <v>353</v>
      </c>
      <c r="AC24" t="s">
        <v>128</v>
      </c>
      <c r="AD24" t="s">
        <v>44</v>
      </c>
      <c r="AE24" t="s">
        <v>134</v>
      </c>
      <c r="AF24" t="s">
        <v>149</v>
      </c>
    </row>
    <row r="25" spans="1:32">
      <c r="A25" t="s">
        <v>71</v>
      </c>
      <c r="B25" t="s">
        <v>167</v>
      </c>
      <c r="C25">
        <v>2019</v>
      </c>
      <c r="D25">
        <v>2638.7</v>
      </c>
      <c r="E25">
        <v>430.4</v>
      </c>
      <c r="F25">
        <v>1865</v>
      </c>
      <c r="G25">
        <v>343.3</v>
      </c>
      <c r="H25">
        <v>495</v>
      </c>
      <c r="I25">
        <v>357.4</v>
      </c>
      <c r="J25">
        <v>9.3000000000000007</v>
      </c>
      <c r="K25">
        <v>47.5</v>
      </c>
      <c r="L25">
        <v>80.8</v>
      </c>
      <c r="M25">
        <v>161946</v>
      </c>
      <c r="N25">
        <v>26414</v>
      </c>
      <c r="O25">
        <v>114460</v>
      </c>
      <c r="P25">
        <v>21072</v>
      </c>
      <c r="Q25">
        <v>30380</v>
      </c>
      <c r="R25">
        <v>21936</v>
      </c>
      <c r="S25">
        <v>568</v>
      </c>
      <c r="T25">
        <v>2917</v>
      </c>
      <c r="U25">
        <v>4959</v>
      </c>
      <c r="V25">
        <v>6137428</v>
      </c>
      <c r="W25">
        <v>178040</v>
      </c>
      <c r="X25">
        <v>15.5</v>
      </c>
      <c r="Y25">
        <v>56</v>
      </c>
      <c r="Z25" t="s">
        <v>127</v>
      </c>
      <c r="AA25">
        <v>70</v>
      </c>
      <c r="AB25">
        <v>308</v>
      </c>
      <c r="AC25" t="s">
        <v>133</v>
      </c>
      <c r="AD25" t="s">
        <v>44</v>
      </c>
      <c r="AE25" t="s">
        <v>138</v>
      </c>
      <c r="AF25" t="s">
        <v>149</v>
      </c>
    </row>
    <row r="26" spans="1:32">
      <c r="A26" t="s">
        <v>72</v>
      </c>
      <c r="B26" t="s">
        <v>168</v>
      </c>
      <c r="C26">
        <v>2019</v>
      </c>
      <c r="D26">
        <v>2375.8000000000002</v>
      </c>
      <c r="E26">
        <v>627</v>
      </c>
      <c r="F26">
        <v>1555.7</v>
      </c>
      <c r="G26">
        <v>193.1</v>
      </c>
      <c r="H26">
        <v>277.89999999999998</v>
      </c>
      <c r="I26">
        <v>184.6</v>
      </c>
      <c r="J26">
        <v>11.2</v>
      </c>
      <c r="K26">
        <v>25.1</v>
      </c>
      <c r="L26">
        <v>57.1</v>
      </c>
      <c r="M26">
        <v>70707</v>
      </c>
      <c r="N26">
        <v>18660</v>
      </c>
      <c r="O26">
        <v>46300</v>
      </c>
      <c r="P26">
        <v>5747</v>
      </c>
      <c r="Q26">
        <v>8272</v>
      </c>
      <c r="R26">
        <v>5493</v>
      </c>
      <c r="S26">
        <v>332</v>
      </c>
      <c r="T26">
        <v>747</v>
      </c>
      <c r="U26">
        <v>1700</v>
      </c>
      <c r="V26">
        <v>2976149</v>
      </c>
      <c r="W26">
        <v>121531</v>
      </c>
      <c r="X26">
        <v>21.9</v>
      </c>
      <c r="Y26">
        <v>52</v>
      </c>
      <c r="Z26" t="s">
        <v>137</v>
      </c>
      <c r="AA26">
        <v>46</v>
      </c>
      <c r="AB26">
        <v>110</v>
      </c>
      <c r="AC26" t="s">
        <v>133</v>
      </c>
      <c r="AD26" t="s">
        <v>10</v>
      </c>
      <c r="AE26" t="s">
        <v>134</v>
      </c>
      <c r="AF26" t="s">
        <v>135</v>
      </c>
    </row>
    <row r="27" spans="1:32">
      <c r="A27" t="s">
        <v>73</v>
      </c>
      <c r="B27" t="s">
        <v>169</v>
      </c>
      <c r="C27">
        <v>2019</v>
      </c>
      <c r="D27">
        <v>2193.1999999999998</v>
      </c>
      <c r="E27">
        <v>270.10000000000002</v>
      </c>
      <c r="F27">
        <v>1700.6</v>
      </c>
      <c r="G27">
        <v>222.4</v>
      </c>
      <c r="H27">
        <v>404.9</v>
      </c>
      <c r="I27">
        <v>324.89999999999998</v>
      </c>
      <c r="J27">
        <v>2.5</v>
      </c>
      <c r="K27">
        <v>58.4</v>
      </c>
      <c r="L27">
        <v>19.2</v>
      </c>
      <c r="M27">
        <v>23440</v>
      </c>
      <c r="N27">
        <v>2887</v>
      </c>
      <c r="O27">
        <v>18176</v>
      </c>
      <c r="P27">
        <v>2377</v>
      </c>
      <c r="Q27">
        <v>4328</v>
      </c>
      <c r="R27">
        <v>3472</v>
      </c>
      <c r="S27">
        <v>27</v>
      </c>
      <c r="T27">
        <v>624</v>
      </c>
      <c r="U27">
        <v>205</v>
      </c>
      <c r="V27">
        <v>1068778</v>
      </c>
      <c r="W27">
        <v>376962</v>
      </c>
      <c r="X27">
        <v>15.2</v>
      </c>
      <c r="Y27">
        <v>47</v>
      </c>
      <c r="Z27" t="s">
        <v>137</v>
      </c>
      <c r="AA27">
        <v>53</v>
      </c>
      <c r="AB27">
        <v>48</v>
      </c>
      <c r="AC27" t="s">
        <v>143</v>
      </c>
      <c r="AD27" t="s">
        <v>9</v>
      </c>
      <c r="AE27" t="s">
        <v>134</v>
      </c>
      <c r="AF27" t="s">
        <v>147</v>
      </c>
    </row>
    <row r="28" spans="1:32">
      <c r="A28" t="s">
        <v>74</v>
      </c>
      <c r="B28" t="s">
        <v>170</v>
      </c>
      <c r="C28">
        <v>2019</v>
      </c>
      <c r="D28">
        <v>2357.3000000000002</v>
      </c>
      <c r="E28">
        <v>519.1</v>
      </c>
      <c r="F28">
        <v>1666</v>
      </c>
      <c r="G28">
        <v>172.2</v>
      </c>
      <c r="H28">
        <v>371.8</v>
      </c>
      <c r="I28">
        <v>262.39999999999998</v>
      </c>
      <c r="J28">
        <v>6</v>
      </c>
      <c r="K28">
        <v>31</v>
      </c>
      <c r="L28">
        <v>72.5</v>
      </c>
      <c r="M28">
        <v>247236</v>
      </c>
      <c r="N28">
        <v>54447</v>
      </c>
      <c r="O28">
        <v>174728</v>
      </c>
      <c r="P28">
        <v>18061</v>
      </c>
      <c r="Q28">
        <v>38995</v>
      </c>
      <c r="R28">
        <v>27517</v>
      </c>
      <c r="S28">
        <v>632</v>
      </c>
      <c r="T28">
        <v>3247</v>
      </c>
      <c r="U28">
        <v>7599</v>
      </c>
      <c r="V28">
        <v>10488084</v>
      </c>
      <c r="W28">
        <v>125920</v>
      </c>
      <c r="X28">
        <v>17.2</v>
      </c>
      <c r="Y28">
        <v>62</v>
      </c>
      <c r="Z28" t="s">
        <v>127</v>
      </c>
      <c r="AA28">
        <v>67</v>
      </c>
      <c r="AB28">
        <v>544</v>
      </c>
      <c r="AC28" t="s">
        <v>133</v>
      </c>
      <c r="AD28" t="s">
        <v>10</v>
      </c>
      <c r="AE28" t="s">
        <v>134</v>
      </c>
      <c r="AF28" t="s">
        <v>135</v>
      </c>
    </row>
    <row r="29" spans="1:32">
      <c r="A29" t="s">
        <v>75</v>
      </c>
      <c r="B29" t="s">
        <v>171</v>
      </c>
      <c r="C29">
        <v>2019</v>
      </c>
      <c r="D29">
        <v>1977</v>
      </c>
      <c r="E29">
        <v>342.2</v>
      </c>
      <c r="F29">
        <v>1399.6</v>
      </c>
      <c r="G29">
        <v>235.2</v>
      </c>
      <c r="H29">
        <v>284.60000000000002</v>
      </c>
      <c r="I29">
        <v>200.6</v>
      </c>
      <c r="J29">
        <v>3.1</v>
      </c>
      <c r="K29">
        <v>57.3</v>
      </c>
      <c r="L29">
        <v>23.5</v>
      </c>
      <c r="M29">
        <v>15066</v>
      </c>
      <c r="N29">
        <v>2608</v>
      </c>
      <c r="O29">
        <v>10666</v>
      </c>
      <c r="P29">
        <v>1792</v>
      </c>
      <c r="Q29">
        <v>2169</v>
      </c>
      <c r="R29">
        <v>1529</v>
      </c>
      <c r="S29">
        <v>24</v>
      </c>
      <c r="T29">
        <v>437</v>
      </c>
      <c r="U29">
        <v>179</v>
      </c>
      <c r="V29">
        <v>762062</v>
      </c>
      <c r="W29">
        <v>169752</v>
      </c>
      <c r="X29">
        <v>11.1</v>
      </c>
      <c r="Y29">
        <v>52</v>
      </c>
      <c r="Z29" t="s">
        <v>132</v>
      </c>
      <c r="AA29">
        <v>61</v>
      </c>
      <c r="AB29">
        <v>53</v>
      </c>
      <c r="AC29" t="s">
        <v>128</v>
      </c>
      <c r="AD29" t="s">
        <v>44</v>
      </c>
      <c r="AE29" t="s">
        <v>134</v>
      </c>
      <c r="AF29" t="s">
        <v>149</v>
      </c>
    </row>
    <row r="30" spans="1:32">
      <c r="A30" t="s">
        <v>76</v>
      </c>
      <c r="B30" t="s">
        <v>172</v>
      </c>
      <c r="C30">
        <v>2019</v>
      </c>
      <c r="D30">
        <v>2039.3</v>
      </c>
      <c r="E30">
        <v>245.3</v>
      </c>
      <c r="F30">
        <v>1536.3</v>
      </c>
      <c r="G30">
        <v>257.7</v>
      </c>
      <c r="H30">
        <v>300.89999999999998</v>
      </c>
      <c r="I30">
        <v>192.9</v>
      </c>
      <c r="J30">
        <v>2.2999999999999998</v>
      </c>
      <c r="K30">
        <v>64.8</v>
      </c>
      <c r="L30">
        <v>40.9</v>
      </c>
      <c r="M30">
        <v>39449</v>
      </c>
      <c r="N30">
        <v>4745</v>
      </c>
      <c r="O30">
        <v>29719</v>
      </c>
      <c r="P30">
        <v>4985</v>
      </c>
      <c r="Q30">
        <v>5821</v>
      </c>
      <c r="R30">
        <v>3731</v>
      </c>
      <c r="S30">
        <v>45</v>
      </c>
      <c r="T30">
        <v>1253</v>
      </c>
      <c r="U30">
        <v>792</v>
      </c>
      <c r="V30">
        <v>1934408</v>
      </c>
      <c r="W30">
        <v>198974</v>
      </c>
      <c r="X30">
        <v>12.3</v>
      </c>
      <c r="Y30">
        <v>61</v>
      </c>
      <c r="Z30" t="s">
        <v>132</v>
      </c>
      <c r="AA30">
        <v>73</v>
      </c>
      <c r="AB30">
        <v>118</v>
      </c>
      <c r="AC30" t="s">
        <v>133</v>
      </c>
      <c r="AD30" t="s">
        <v>44</v>
      </c>
      <c r="AE30" t="s">
        <v>138</v>
      </c>
      <c r="AF30" t="s">
        <v>149</v>
      </c>
    </row>
    <row r="31" spans="1:32">
      <c r="A31" t="s">
        <v>77</v>
      </c>
      <c r="B31" t="s">
        <v>173</v>
      </c>
      <c r="C31">
        <v>2019</v>
      </c>
      <c r="D31">
        <v>1209.2</v>
      </c>
      <c r="E31">
        <v>126.3</v>
      </c>
      <c r="F31">
        <v>1017.3</v>
      </c>
      <c r="G31">
        <v>65.7</v>
      </c>
      <c r="H31">
        <v>152.5</v>
      </c>
      <c r="I31">
        <v>83.7</v>
      </c>
      <c r="J31">
        <v>2.4</v>
      </c>
      <c r="K31">
        <v>43.4</v>
      </c>
      <c r="L31">
        <v>23</v>
      </c>
      <c r="M31">
        <v>16442</v>
      </c>
      <c r="N31">
        <v>1717</v>
      </c>
      <c r="O31">
        <v>13832</v>
      </c>
      <c r="P31">
        <v>893</v>
      </c>
      <c r="Q31">
        <v>2074</v>
      </c>
      <c r="R31">
        <v>1138</v>
      </c>
      <c r="S31">
        <v>33</v>
      </c>
      <c r="T31">
        <v>590</v>
      </c>
      <c r="U31">
        <v>313</v>
      </c>
      <c r="V31">
        <v>1359711</v>
      </c>
      <c r="W31">
        <v>23187</v>
      </c>
      <c r="X31">
        <v>9.1999999999999993</v>
      </c>
      <c r="Y31">
        <v>68</v>
      </c>
      <c r="Z31" t="s">
        <v>146</v>
      </c>
      <c r="AA31">
        <v>58</v>
      </c>
      <c r="AB31">
        <v>82</v>
      </c>
      <c r="AC31" t="s">
        <v>128</v>
      </c>
      <c r="AD31" t="s">
        <v>45</v>
      </c>
      <c r="AE31" t="s">
        <v>134</v>
      </c>
      <c r="AF31" t="s">
        <v>149</v>
      </c>
    </row>
    <row r="32" spans="1:32">
      <c r="A32" t="s">
        <v>78</v>
      </c>
      <c r="B32" t="s">
        <v>174</v>
      </c>
      <c r="C32">
        <v>2019</v>
      </c>
      <c r="D32">
        <v>1335.7</v>
      </c>
      <c r="E32">
        <v>184.6</v>
      </c>
      <c r="F32">
        <v>1034.7</v>
      </c>
      <c r="G32">
        <v>116.4</v>
      </c>
      <c r="H32">
        <v>206.9</v>
      </c>
      <c r="I32">
        <v>122.2</v>
      </c>
      <c r="J32">
        <v>2.9</v>
      </c>
      <c r="K32">
        <v>17.2</v>
      </c>
      <c r="L32">
        <v>64.5</v>
      </c>
      <c r="M32">
        <v>118637</v>
      </c>
      <c r="N32">
        <v>16399</v>
      </c>
      <c r="O32">
        <v>91902</v>
      </c>
      <c r="P32">
        <v>10336</v>
      </c>
      <c r="Q32">
        <v>18375</v>
      </c>
      <c r="R32">
        <v>10852</v>
      </c>
      <c r="S32">
        <v>262</v>
      </c>
      <c r="T32">
        <v>1531</v>
      </c>
      <c r="U32">
        <v>5730</v>
      </c>
      <c r="V32">
        <v>8882190</v>
      </c>
      <c r="W32">
        <v>19047</v>
      </c>
      <c r="X32">
        <v>11.1</v>
      </c>
      <c r="Y32">
        <v>74</v>
      </c>
      <c r="Z32" t="s">
        <v>127</v>
      </c>
      <c r="AA32">
        <v>94</v>
      </c>
      <c r="AB32">
        <v>597</v>
      </c>
      <c r="AC32" t="s">
        <v>128</v>
      </c>
      <c r="AD32" t="s">
        <v>45</v>
      </c>
      <c r="AE32" t="s">
        <v>134</v>
      </c>
      <c r="AF32" t="s">
        <v>149</v>
      </c>
    </row>
    <row r="33" spans="1:32">
      <c r="A33" t="s">
        <v>79</v>
      </c>
      <c r="B33" t="s">
        <v>175</v>
      </c>
      <c r="C33">
        <v>2019</v>
      </c>
      <c r="D33">
        <v>3112.7</v>
      </c>
      <c r="E33">
        <v>696.8</v>
      </c>
      <c r="F33">
        <v>1988.8</v>
      </c>
      <c r="G33">
        <v>427.2</v>
      </c>
      <c r="H33">
        <v>832.2</v>
      </c>
      <c r="I33">
        <v>650.5</v>
      </c>
      <c r="J33">
        <v>8.6</v>
      </c>
      <c r="K33">
        <v>61.4</v>
      </c>
      <c r="L33">
        <v>111.6</v>
      </c>
      <c r="M33">
        <v>65269</v>
      </c>
      <c r="N33">
        <v>14610</v>
      </c>
      <c r="O33">
        <v>41702</v>
      </c>
      <c r="P33">
        <v>8957</v>
      </c>
      <c r="Q33">
        <v>17450</v>
      </c>
      <c r="R33">
        <v>13640</v>
      </c>
      <c r="S33">
        <v>181</v>
      </c>
      <c r="T33">
        <v>1288</v>
      </c>
      <c r="U33">
        <v>2341</v>
      </c>
      <c r="V33">
        <v>2096829</v>
      </c>
      <c r="W33">
        <v>314161</v>
      </c>
      <c r="X33">
        <v>20.6</v>
      </c>
      <c r="Y33">
        <v>44</v>
      </c>
      <c r="Z33" t="s">
        <v>137</v>
      </c>
      <c r="AA33">
        <v>75</v>
      </c>
      <c r="AB33">
        <v>96</v>
      </c>
      <c r="AC33" t="s">
        <v>128</v>
      </c>
      <c r="AD33" t="s">
        <v>9</v>
      </c>
      <c r="AE33" t="s">
        <v>134</v>
      </c>
      <c r="AF33" t="s">
        <v>147</v>
      </c>
    </row>
    <row r="34" spans="1:32">
      <c r="A34" t="s">
        <v>80</v>
      </c>
      <c r="B34" t="s">
        <v>176</v>
      </c>
      <c r="C34">
        <v>2019</v>
      </c>
      <c r="D34">
        <v>2322.1</v>
      </c>
      <c r="E34">
        <v>503.5</v>
      </c>
      <c r="F34">
        <v>1453</v>
      </c>
      <c r="G34">
        <v>365.6</v>
      </c>
      <c r="H34">
        <v>493.8</v>
      </c>
      <c r="I34">
        <v>312.3</v>
      </c>
      <c r="J34">
        <v>4.5999999999999996</v>
      </c>
      <c r="K34">
        <v>70.2</v>
      </c>
      <c r="L34">
        <v>106.7</v>
      </c>
      <c r="M34">
        <v>71525</v>
      </c>
      <c r="N34">
        <v>15510</v>
      </c>
      <c r="O34">
        <v>44755</v>
      </c>
      <c r="P34">
        <v>11260</v>
      </c>
      <c r="Q34">
        <v>15210</v>
      </c>
      <c r="R34">
        <v>9620</v>
      </c>
      <c r="S34">
        <v>143</v>
      </c>
      <c r="T34">
        <v>2161</v>
      </c>
      <c r="U34">
        <v>3286</v>
      </c>
      <c r="V34">
        <v>3080156</v>
      </c>
      <c r="W34">
        <v>284332</v>
      </c>
      <c r="X34">
        <v>15.4</v>
      </c>
      <c r="Y34">
        <v>45</v>
      </c>
      <c r="Z34" t="s">
        <v>132</v>
      </c>
      <c r="AA34">
        <v>94</v>
      </c>
      <c r="AB34">
        <v>165</v>
      </c>
      <c r="AC34" t="s">
        <v>133</v>
      </c>
      <c r="AD34" t="s">
        <v>9</v>
      </c>
      <c r="AE34" t="s">
        <v>138</v>
      </c>
      <c r="AF34" t="s">
        <v>141</v>
      </c>
    </row>
    <row r="35" spans="1:32">
      <c r="A35" t="s">
        <v>81</v>
      </c>
      <c r="B35" t="s">
        <v>177</v>
      </c>
      <c r="C35">
        <v>2019</v>
      </c>
      <c r="D35">
        <v>1373.3</v>
      </c>
      <c r="E35">
        <v>141.9</v>
      </c>
      <c r="F35">
        <v>1166.0999999999999</v>
      </c>
      <c r="G35">
        <v>65.3</v>
      </c>
      <c r="H35">
        <v>358.6</v>
      </c>
      <c r="I35">
        <v>229</v>
      </c>
      <c r="J35">
        <v>2.9</v>
      </c>
      <c r="K35">
        <v>33.799999999999997</v>
      </c>
      <c r="L35">
        <v>92.9</v>
      </c>
      <c r="M35">
        <v>267155</v>
      </c>
      <c r="N35">
        <v>27600</v>
      </c>
      <c r="O35">
        <v>226851</v>
      </c>
      <c r="P35">
        <v>12704</v>
      </c>
      <c r="Q35">
        <v>69764</v>
      </c>
      <c r="R35">
        <v>44555</v>
      </c>
      <c r="S35">
        <v>558</v>
      </c>
      <c r="T35">
        <v>6583</v>
      </c>
      <c r="U35">
        <v>18068</v>
      </c>
      <c r="V35">
        <v>19453561</v>
      </c>
      <c r="W35">
        <v>122057</v>
      </c>
      <c r="X35">
        <v>15.9</v>
      </c>
      <c r="Y35">
        <v>66</v>
      </c>
      <c r="Z35" t="s">
        <v>137</v>
      </c>
      <c r="AA35">
        <v>87</v>
      </c>
      <c r="AB35">
        <v>1604</v>
      </c>
      <c r="AC35" t="s">
        <v>128</v>
      </c>
      <c r="AD35" t="s">
        <v>45</v>
      </c>
      <c r="AE35" t="s">
        <v>134</v>
      </c>
      <c r="AF35" t="s">
        <v>149</v>
      </c>
    </row>
    <row r="36" spans="1:32">
      <c r="A36" t="s">
        <v>82</v>
      </c>
      <c r="B36" t="s">
        <v>178</v>
      </c>
      <c r="C36">
        <v>2019</v>
      </c>
      <c r="D36">
        <v>2055.6999999999998</v>
      </c>
      <c r="E36">
        <v>375.5</v>
      </c>
      <c r="F36">
        <v>1520.4</v>
      </c>
      <c r="G36">
        <v>159.69999999999999</v>
      </c>
      <c r="H36">
        <v>293.2</v>
      </c>
      <c r="I36">
        <v>163.9</v>
      </c>
      <c r="J36">
        <v>4.5999999999999996</v>
      </c>
      <c r="K36">
        <v>49</v>
      </c>
      <c r="L36">
        <v>75.7</v>
      </c>
      <c r="M36">
        <v>240291</v>
      </c>
      <c r="N36">
        <v>43894</v>
      </c>
      <c r="O36">
        <v>177725</v>
      </c>
      <c r="P36">
        <v>18672</v>
      </c>
      <c r="Q36">
        <v>34269</v>
      </c>
      <c r="R36">
        <v>19154</v>
      </c>
      <c r="S36">
        <v>538</v>
      </c>
      <c r="T36">
        <v>5731</v>
      </c>
      <c r="U36">
        <v>8846</v>
      </c>
      <c r="V36">
        <v>11689100</v>
      </c>
      <c r="W36">
        <v>105829</v>
      </c>
      <c r="X36">
        <v>15.8</v>
      </c>
      <c r="Y36">
        <v>58</v>
      </c>
      <c r="Z36" t="s">
        <v>127</v>
      </c>
      <c r="AA36">
        <v>76</v>
      </c>
      <c r="AB36">
        <v>647</v>
      </c>
      <c r="AC36" t="s">
        <v>133</v>
      </c>
      <c r="AD36" t="s">
        <v>44</v>
      </c>
      <c r="AE36" t="s">
        <v>134</v>
      </c>
      <c r="AF36" t="s">
        <v>149</v>
      </c>
    </row>
    <row r="37" spans="1:32">
      <c r="A37" t="s">
        <v>83</v>
      </c>
      <c r="B37" t="s">
        <v>179</v>
      </c>
      <c r="C37">
        <v>2019</v>
      </c>
      <c r="D37">
        <v>2845.3</v>
      </c>
      <c r="E37">
        <v>671.7</v>
      </c>
      <c r="F37">
        <v>1835.5</v>
      </c>
      <c r="G37">
        <v>338.1</v>
      </c>
      <c r="H37">
        <v>431.8</v>
      </c>
      <c r="I37">
        <v>307.89999999999998</v>
      </c>
      <c r="J37">
        <v>6.7</v>
      </c>
      <c r="K37">
        <v>57.3</v>
      </c>
      <c r="L37">
        <v>59.9</v>
      </c>
      <c r="M37">
        <v>112587</v>
      </c>
      <c r="N37">
        <v>26577</v>
      </c>
      <c r="O37">
        <v>72632</v>
      </c>
      <c r="P37">
        <v>13378</v>
      </c>
      <c r="Q37">
        <v>17086</v>
      </c>
      <c r="R37">
        <v>12183</v>
      </c>
      <c r="S37">
        <v>266</v>
      </c>
      <c r="T37">
        <v>2268</v>
      </c>
      <c r="U37">
        <v>2369</v>
      </c>
      <c r="V37">
        <v>3956971</v>
      </c>
      <c r="W37">
        <v>177660</v>
      </c>
      <c r="X37">
        <v>16.600000000000001</v>
      </c>
      <c r="Y37">
        <v>46</v>
      </c>
      <c r="Z37" t="s">
        <v>137</v>
      </c>
      <c r="AA37">
        <v>65</v>
      </c>
      <c r="AB37">
        <v>191</v>
      </c>
      <c r="AC37" t="s">
        <v>133</v>
      </c>
      <c r="AD37" t="s">
        <v>10</v>
      </c>
      <c r="AE37" t="s">
        <v>138</v>
      </c>
      <c r="AF37" t="s">
        <v>135</v>
      </c>
    </row>
    <row r="38" spans="1:32">
      <c r="A38" t="s">
        <v>84</v>
      </c>
      <c r="B38" t="s">
        <v>180</v>
      </c>
      <c r="C38">
        <v>2019</v>
      </c>
      <c r="D38">
        <v>2730.6</v>
      </c>
      <c r="E38">
        <v>349.1</v>
      </c>
      <c r="F38">
        <v>2021.5</v>
      </c>
      <c r="G38">
        <v>360</v>
      </c>
      <c r="H38">
        <v>284.39999999999998</v>
      </c>
      <c r="I38">
        <v>185.5</v>
      </c>
      <c r="J38">
        <v>2.8</v>
      </c>
      <c r="K38">
        <v>42.2</v>
      </c>
      <c r="L38">
        <v>54</v>
      </c>
      <c r="M38">
        <v>115170</v>
      </c>
      <c r="N38">
        <v>14724</v>
      </c>
      <c r="O38">
        <v>85261</v>
      </c>
      <c r="P38">
        <v>15185</v>
      </c>
      <c r="Q38">
        <v>11995</v>
      </c>
      <c r="R38">
        <v>7825</v>
      </c>
      <c r="S38">
        <v>116</v>
      </c>
      <c r="T38">
        <v>1778</v>
      </c>
      <c r="U38">
        <v>2276</v>
      </c>
      <c r="V38">
        <v>4217737</v>
      </c>
      <c r="W38">
        <v>248608</v>
      </c>
      <c r="X38">
        <v>16.399999999999999</v>
      </c>
      <c r="Y38">
        <v>62</v>
      </c>
      <c r="Z38" t="s">
        <v>127</v>
      </c>
      <c r="AA38">
        <v>81</v>
      </c>
      <c r="AB38">
        <v>233</v>
      </c>
      <c r="AC38" t="s">
        <v>143</v>
      </c>
      <c r="AD38" t="s">
        <v>9</v>
      </c>
      <c r="AE38" t="s">
        <v>134</v>
      </c>
      <c r="AF38" t="s">
        <v>181</v>
      </c>
    </row>
    <row r="39" spans="1:32">
      <c r="A39" t="s">
        <v>85</v>
      </c>
      <c r="B39" t="s">
        <v>182</v>
      </c>
      <c r="C39">
        <v>2019</v>
      </c>
      <c r="D39">
        <v>1403.4</v>
      </c>
      <c r="E39">
        <v>182.4</v>
      </c>
      <c r="F39">
        <v>1124.2</v>
      </c>
      <c r="G39">
        <v>96.8</v>
      </c>
      <c r="H39">
        <v>306.39999999999998</v>
      </c>
      <c r="I39">
        <v>191.1</v>
      </c>
      <c r="J39">
        <v>5.2</v>
      </c>
      <c r="K39">
        <v>34</v>
      </c>
      <c r="L39">
        <v>76.099999999999994</v>
      </c>
      <c r="M39">
        <v>179665</v>
      </c>
      <c r="N39">
        <v>23354</v>
      </c>
      <c r="O39">
        <v>143921</v>
      </c>
      <c r="P39">
        <v>12390</v>
      </c>
      <c r="Q39">
        <v>39228</v>
      </c>
      <c r="R39">
        <v>24465</v>
      </c>
      <c r="S39">
        <v>669</v>
      </c>
      <c r="T39">
        <v>4351</v>
      </c>
      <c r="U39">
        <v>9743</v>
      </c>
      <c r="V39">
        <v>12801989</v>
      </c>
      <c r="W39">
        <v>115883</v>
      </c>
      <c r="X39">
        <v>13.6</v>
      </c>
      <c r="Y39">
        <v>67</v>
      </c>
      <c r="Z39" t="s">
        <v>127</v>
      </c>
      <c r="AA39">
        <v>77</v>
      </c>
      <c r="AB39">
        <v>754</v>
      </c>
      <c r="AC39" t="s">
        <v>143</v>
      </c>
      <c r="AD39" t="s">
        <v>45</v>
      </c>
      <c r="AE39" t="s">
        <v>134</v>
      </c>
      <c r="AF39" t="s">
        <v>149</v>
      </c>
    </row>
    <row r="40" spans="1:32">
      <c r="A40" t="s">
        <v>86</v>
      </c>
      <c r="B40" t="s">
        <v>183</v>
      </c>
      <c r="C40">
        <v>2019</v>
      </c>
      <c r="D40">
        <v>1534.8</v>
      </c>
      <c r="E40">
        <v>219.1</v>
      </c>
      <c r="F40">
        <v>1187.5</v>
      </c>
      <c r="G40">
        <v>128.19999999999999</v>
      </c>
      <c r="H40">
        <v>221.1</v>
      </c>
      <c r="I40">
        <v>132.9</v>
      </c>
      <c r="J40">
        <v>2.4</v>
      </c>
      <c r="K40">
        <v>46.3</v>
      </c>
      <c r="L40">
        <v>39.5</v>
      </c>
      <c r="M40">
        <v>16259</v>
      </c>
      <c r="N40">
        <v>2321</v>
      </c>
      <c r="O40">
        <v>12580</v>
      </c>
      <c r="P40">
        <v>1358</v>
      </c>
      <c r="Q40">
        <v>2342</v>
      </c>
      <c r="R40">
        <v>1408</v>
      </c>
      <c r="S40">
        <v>25</v>
      </c>
      <c r="T40">
        <v>491</v>
      </c>
      <c r="U40">
        <v>418</v>
      </c>
      <c r="V40">
        <v>1059361</v>
      </c>
      <c r="W40">
        <v>2678</v>
      </c>
      <c r="X40">
        <v>14.8</v>
      </c>
      <c r="Y40">
        <v>71</v>
      </c>
      <c r="Z40" t="s">
        <v>137</v>
      </c>
      <c r="AA40">
        <v>91</v>
      </c>
      <c r="AB40">
        <v>59</v>
      </c>
      <c r="AC40" t="s">
        <v>128</v>
      </c>
      <c r="AD40" t="s">
        <v>45</v>
      </c>
      <c r="AE40" t="s">
        <v>134</v>
      </c>
      <c r="AF40" t="s">
        <v>149</v>
      </c>
    </row>
    <row r="41" spans="1:32">
      <c r="A41" t="s">
        <v>87</v>
      </c>
      <c r="B41" t="s">
        <v>184</v>
      </c>
      <c r="C41">
        <v>2019</v>
      </c>
      <c r="D41">
        <v>2940.3</v>
      </c>
      <c r="E41">
        <v>533.4</v>
      </c>
      <c r="F41">
        <v>2116.1</v>
      </c>
      <c r="G41">
        <v>290.8</v>
      </c>
      <c r="H41">
        <v>511.3</v>
      </c>
      <c r="I41">
        <v>390.5</v>
      </c>
      <c r="J41">
        <v>9</v>
      </c>
      <c r="K41">
        <v>47.8</v>
      </c>
      <c r="L41">
        <v>64</v>
      </c>
      <c r="M41">
        <v>151389</v>
      </c>
      <c r="N41">
        <v>27461</v>
      </c>
      <c r="O41">
        <v>108953</v>
      </c>
      <c r="P41">
        <v>14975</v>
      </c>
      <c r="Q41">
        <v>26323</v>
      </c>
      <c r="R41">
        <v>20105</v>
      </c>
      <c r="S41">
        <v>464</v>
      </c>
      <c r="T41">
        <v>2460</v>
      </c>
      <c r="U41">
        <v>3294</v>
      </c>
      <c r="V41">
        <v>5148714</v>
      </c>
      <c r="W41">
        <v>77857</v>
      </c>
      <c r="X41">
        <v>17.899999999999999</v>
      </c>
      <c r="Y41">
        <v>58</v>
      </c>
      <c r="Z41" t="s">
        <v>137</v>
      </c>
      <c r="AA41">
        <v>68</v>
      </c>
      <c r="AB41">
        <v>228</v>
      </c>
      <c r="AC41" t="s">
        <v>133</v>
      </c>
      <c r="AD41" t="s">
        <v>10</v>
      </c>
      <c r="AE41" t="s">
        <v>134</v>
      </c>
      <c r="AF41" t="s">
        <v>135</v>
      </c>
    </row>
    <row r="42" spans="1:32">
      <c r="A42" t="s">
        <v>88</v>
      </c>
      <c r="B42" t="s">
        <v>185</v>
      </c>
      <c r="C42">
        <v>2019</v>
      </c>
      <c r="D42">
        <v>1771</v>
      </c>
      <c r="E42">
        <v>299.10000000000002</v>
      </c>
      <c r="F42">
        <v>1273.4000000000001</v>
      </c>
      <c r="G42">
        <v>198.5</v>
      </c>
      <c r="H42">
        <v>399</v>
      </c>
      <c r="I42">
        <v>302.5</v>
      </c>
      <c r="J42">
        <v>1.9</v>
      </c>
      <c r="K42">
        <v>72.599999999999994</v>
      </c>
      <c r="L42">
        <v>22</v>
      </c>
      <c r="M42">
        <v>15667</v>
      </c>
      <c r="N42">
        <v>2646</v>
      </c>
      <c r="O42">
        <v>11265</v>
      </c>
      <c r="P42">
        <v>1756</v>
      </c>
      <c r="Q42">
        <v>3530</v>
      </c>
      <c r="R42">
        <v>2676</v>
      </c>
      <c r="S42">
        <v>17</v>
      </c>
      <c r="T42">
        <v>642</v>
      </c>
      <c r="U42">
        <v>195</v>
      </c>
      <c r="V42">
        <v>884659</v>
      </c>
      <c r="W42">
        <v>196350</v>
      </c>
      <c r="X42">
        <v>14.1</v>
      </c>
      <c r="Y42">
        <v>51</v>
      </c>
      <c r="Z42" t="s">
        <v>132</v>
      </c>
      <c r="AA42">
        <v>57</v>
      </c>
      <c r="AB42">
        <v>49</v>
      </c>
      <c r="AC42" t="s">
        <v>133</v>
      </c>
      <c r="AD42" t="s">
        <v>44</v>
      </c>
      <c r="AE42" t="s">
        <v>138</v>
      </c>
      <c r="AF42" t="s">
        <v>149</v>
      </c>
    </row>
    <row r="43" spans="1:32">
      <c r="A43" t="s">
        <v>89</v>
      </c>
      <c r="B43" t="s">
        <v>186</v>
      </c>
      <c r="C43">
        <v>2019</v>
      </c>
      <c r="D43">
        <v>2652.6</v>
      </c>
      <c r="E43">
        <v>437.4</v>
      </c>
      <c r="F43">
        <v>1934.4</v>
      </c>
      <c r="G43">
        <v>280.89999999999998</v>
      </c>
      <c r="H43">
        <v>595.20000000000005</v>
      </c>
      <c r="I43">
        <v>456.7</v>
      </c>
      <c r="J43">
        <v>7.3</v>
      </c>
      <c r="K43">
        <v>41.2</v>
      </c>
      <c r="L43">
        <v>90.1</v>
      </c>
      <c r="M43">
        <v>181153</v>
      </c>
      <c r="N43">
        <v>29869</v>
      </c>
      <c r="O43">
        <v>132104</v>
      </c>
      <c r="P43">
        <v>19180</v>
      </c>
      <c r="Q43">
        <v>40647</v>
      </c>
      <c r="R43">
        <v>31186</v>
      </c>
      <c r="S43">
        <v>498</v>
      </c>
      <c r="T43">
        <v>2813</v>
      </c>
      <c r="U43">
        <v>6150</v>
      </c>
      <c r="V43">
        <v>6829174</v>
      </c>
      <c r="W43">
        <v>106798</v>
      </c>
      <c r="X43">
        <v>18.2</v>
      </c>
      <c r="Y43">
        <v>51</v>
      </c>
      <c r="Z43" t="s">
        <v>137</v>
      </c>
      <c r="AA43">
        <v>66</v>
      </c>
      <c r="AB43">
        <v>352</v>
      </c>
      <c r="AC43" t="s">
        <v>133</v>
      </c>
      <c r="AD43" t="s">
        <v>10</v>
      </c>
      <c r="AE43" t="s">
        <v>138</v>
      </c>
      <c r="AF43" t="s">
        <v>135</v>
      </c>
    </row>
    <row r="44" spans="1:32">
      <c r="A44" t="s">
        <v>90</v>
      </c>
      <c r="B44" t="s">
        <v>187</v>
      </c>
      <c r="C44">
        <v>2019</v>
      </c>
      <c r="D44">
        <v>2390.6999999999998</v>
      </c>
      <c r="E44">
        <v>392.8</v>
      </c>
      <c r="F44">
        <v>1730.6</v>
      </c>
      <c r="G44">
        <v>267.2</v>
      </c>
      <c r="H44">
        <v>418.9</v>
      </c>
      <c r="I44">
        <v>263</v>
      </c>
      <c r="J44">
        <v>4.9000000000000004</v>
      </c>
      <c r="K44">
        <v>51.1</v>
      </c>
      <c r="L44">
        <v>100</v>
      </c>
      <c r="M44">
        <v>693204</v>
      </c>
      <c r="N44">
        <v>113902</v>
      </c>
      <c r="O44">
        <v>501813</v>
      </c>
      <c r="P44">
        <v>77489</v>
      </c>
      <c r="Q44">
        <v>121474</v>
      </c>
      <c r="R44">
        <v>76253</v>
      </c>
      <c r="S44">
        <v>1409</v>
      </c>
      <c r="T44">
        <v>14824</v>
      </c>
      <c r="U44">
        <v>28988</v>
      </c>
      <c r="V44">
        <v>28995881</v>
      </c>
      <c r="W44">
        <v>676587</v>
      </c>
      <c r="X44">
        <v>17.2</v>
      </c>
      <c r="Y44">
        <v>55</v>
      </c>
      <c r="Z44" t="s">
        <v>137</v>
      </c>
      <c r="AA44">
        <v>84</v>
      </c>
      <c r="AB44">
        <v>1747</v>
      </c>
      <c r="AC44" t="s">
        <v>133</v>
      </c>
      <c r="AD44" t="s">
        <v>10</v>
      </c>
      <c r="AE44" t="s">
        <v>134</v>
      </c>
      <c r="AF44" t="s">
        <v>135</v>
      </c>
    </row>
    <row r="45" spans="1:32">
      <c r="A45" t="s">
        <v>91</v>
      </c>
      <c r="B45" t="s">
        <v>188</v>
      </c>
      <c r="C45">
        <v>2019</v>
      </c>
      <c r="D45">
        <v>2169.3000000000002</v>
      </c>
      <c r="E45">
        <v>276.7</v>
      </c>
      <c r="F45">
        <v>1682.4</v>
      </c>
      <c r="G45">
        <v>210.2</v>
      </c>
      <c r="H45">
        <v>235.6</v>
      </c>
      <c r="I45">
        <v>141.4</v>
      </c>
      <c r="J45">
        <v>2.2000000000000002</v>
      </c>
      <c r="K45">
        <v>56.8</v>
      </c>
      <c r="L45">
        <v>35.1</v>
      </c>
      <c r="M45">
        <v>69546</v>
      </c>
      <c r="N45">
        <v>8871</v>
      </c>
      <c r="O45">
        <v>53937</v>
      </c>
      <c r="P45">
        <v>6738</v>
      </c>
      <c r="Q45">
        <v>7553</v>
      </c>
      <c r="R45">
        <v>4534</v>
      </c>
      <c r="S45">
        <v>72</v>
      </c>
      <c r="T45">
        <v>1822</v>
      </c>
      <c r="U45">
        <v>1125</v>
      </c>
      <c r="V45">
        <v>3205958</v>
      </c>
      <c r="W45">
        <v>212818</v>
      </c>
      <c r="X45">
        <v>11.8</v>
      </c>
      <c r="Y45">
        <v>55</v>
      </c>
      <c r="Z45" t="s">
        <v>140</v>
      </c>
      <c r="AA45">
        <v>90</v>
      </c>
      <c r="AB45">
        <v>175</v>
      </c>
      <c r="AC45" t="s">
        <v>133</v>
      </c>
      <c r="AD45" t="s">
        <v>9</v>
      </c>
      <c r="AE45" t="s">
        <v>138</v>
      </c>
      <c r="AF45" t="s">
        <v>147</v>
      </c>
    </row>
    <row r="46" spans="1:32">
      <c r="A46" t="s">
        <v>92</v>
      </c>
      <c r="B46" t="s">
        <v>189</v>
      </c>
      <c r="C46">
        <v>2019</v>
      </c>
      <c r="D46">
        <v>1642.7</v>
      </c>
      <c r="E46">
        <v>162.80000000000001</v>
      </c>
      <c r="F46">
        <v>1359.5</v>
      </c>
      <c r="G46">
        <v>120.3</v>
      </c>
      <c r="H46">
        <v>208</v>
      </c>
      <c r="I46">
        <v>128.69999999999999</v>
      </c>
      <c r="J46">
        <v>5</v>
      </c>
      <c r="K46">
        <v>33</v>
      </c>
      <c r="L46">
        <v>41.3</v>
      </c>
      <c r="M46">
        <v>140213</v>
      </c>
      <c r="N46">
        <v>13900</v>
      </c>
      <c r="O46">
        <v>116044</v>
      </c>
      <c r="P46">
        <v>10269</v>
      </c>
      <c r="Q46">
        <v>17753</v>
      </c>
      <c r="R46">
        <v>10987</v>
      </c>
      <c r="S46">
        <v>426</v>
      </c>
      <c r="T46">
        <v>2816</v>
      </c>
      <c r="U46">
        <v>3524</v>
      </c>
      <c r="V46">
        <v>8535519</v>
      </c>
      <c r="W46">
        <v>102279</v>
      </c>
      <c r="X46">
        <v>11.8</v>
      </c>
      <c r="Y46">
        <v>67</v>
      </c>
      <c r="Z46" t="s">
        <v>127</v>
      </c>
      <c r="AA46">
        <v>76</v>
      </c>
      <c r="AB46">
        <v>513</v>
      </c>
      <c r="AC46" t="s">
        <v>133</v>
      </c>
      <c r="AD46" t="s">
        <v>10</v>
      </c>
      <c r="AE46" t="s">
        <v>134</v>
      </c>
      <c r="AF46" t="s">
        <v>135</v>
      </c>
    </row>
    <row r="47" spans="1:32">
      <c r="A47" t="s">
        <v>93</v>
      </c>
      <c r="B47" t="s">
        <v>190</v>
      </c>
      <c r="C47">
        <v>2019</v>
      </c>
      <c r="D47">
        <v>1424.4</v>
      </c>
      <c r="E47">
        <v>204.3</v>
      </c>
      <c r="F47">
        <v>1172.3</v>
      </c>
      <c r="G47">
        <v>47.8</v>
      </c>
      <c r="H47">
        <v>202.2</v>
      </c>
      <c r="I47">
        <v>144.6</v>
      </c>
      <c r="J47">
        <v>1.8</v>
      </c>
      <c r="K47">
        <v>44.6</v>
      </c>
      <c r="L47">
        <v>11.4</v>
      </c>
      <c r="M47">
        <v>8888</v>
      </c>
      <c r="N47">
        <v>1275</v>
      </c>
      <c r="O47">
        <v>7315</v>
      </c>
      <c r="P47">
        <v>298</v>
      </c>
      <c r="Q47">
        <v>1262</v>
      </c>
      <c r="R47">
        <v>902</v>
      </c>
      <c r="S47">
        <v>11</v>
      </c>
      <c r="T47">
        <v>278</v>
      </c>
      <c r="U47">
        <v>71</v>
      </c>
      <c r="V47">
        <v>623989</v>
      </c>
      <c r="W47">
        <v>23871</v>
      </c>
      <c r="X47">
        <v>12.2</v>
      </c>
      <c r="Y47">
        <v>67</v>
      </c>
      <c r="Z47" t="s">
        <v>132</v>
      </c>
      <c r="AA47">
        <v>35</v>
      </c>
      <c r="AB47">
        <v>32</v>
      </c>
      <c r="AC47" t="s">
        <v>128</v>
      </c>
      <c r="AD47" t="s">
        <v>45</v>
      </c>
      <c r="AE47" t="s">
        <v>134</v>
      </c>
      <c r="AF47" t="s">
        <v>149</v>
      </c>
    </row>
    <row r="48" spans="1:32">
      <c r="A48" t="s">
        <v>94</v>
      </c>
      <c r="B48" t="s">
        <v>191</v>
      </c>
      <c r="C48">
        <v>2019</v>
      </c>
      <c r="D48">
        <v>2681.9</v>
      </c>
      <c r="E48">
        <v>453.6</v>
      </c>
      <c r="F48">
        <v>1907.9</v>
      </c>
      <c r="G48">
        <v>320.5</v>
      </c>
      <c r="H48">
        <v>293.89999999999998</v>
      </c>
      <c r="I48">
        <v>179.9</v>
      </c>
      <c r="J48">
        <v>2.6</v>
      </c>
      <c r="K48">
        <v>43.8</v>
      </c>
      <c r="L48">
        <v>67.599999999999994</v>
      </c>
      <c r="M48">
        <v>204224</v>
      </c>
      <c r="N48">
        <v>34540</v>
      </c>
      <c r="O48">
        <v>145282</v>
      </c>
      <c r="P48">
        <v>24402</v>
      </c>
      <c r="Q48">
        <v>22377</v>
      </c>
      <c r="R48">
        <v>13700</v>
      </c>
      <c r="S48">
        <v>198</v>
      </c>
      <c r="T48">
        <v>3332</v>
      </c>
      <c r="U48">
        <v>5147</v>
      </c>
      <c r="V48">
        <v>7614893</v>
      </c>
      <c r="W48">
        <v>172119</v>
      </c>
      <c r="X48">
        <v>13.2</v>
      </c>
      <c r="Y48">
        <v>69</v>
      </c>
      <c r="Z48" t="s">
        <v>127</v>
      </c>
      <c r="AA48">
        <v>83</v>
      </c>
      <c r="AB48">
        <v>555</v>
      </c>
      <c r="AC48" t="s">
        <v>128</v>
      </c>
      <c r="AD48" t="s">
        <v>9</v>
      </c>
      <c r="AE48" t="s">
        <v>134</v>
      </c>
      <c r="AF48" t="s">
        <v>181</v>
      </c>
    </row>
    <row r="49" spans="1:32">
      <c r="A49" t="s">
        <v>95</v>
      </c>
      <c r="B49" t="s">
        <v>192</v>
      </c>
      <c r="C49">
        <v>2019</v>
      </c>
      <c r="D49">
        <v>1471.4</v>
      </c>
      <c r="E49">
        <v>217.6</v>
      </c>
      <c r="F49">
        <v>1127</v>
      </c>
      <c r="G49">
        <v>126.8</v>
      </c>
      <c r="H49">
        <v>293.2</v>
      </c>
      <c r="I49">
        <v>200</v>
      </c>
      <c r="J49">
        <v>3</v>
      </c>
      <c r="K49">
        <v>38.799999999999997</v>
      </c>
      <c r="L49">
        <v>51.4</v>
      </c>
      <c r="M49">
        <v>85672</v>
      </c>
      <c r="N49">
        <v>12667</v>
      </c>
      <c r="O49">
        <v>65620</v>
      </c>
      <c r="P49">
        <v>7385</v>
      </c>
      <c r="Q49">
        <v>17070</v>
      </c>
      <c r="R49">
        <v>11643</v>
      </c>
      <c r="S49">
        <v>175</v>
      </c>
      <c r="T49">
        <v>2261</v>
      </c>
      <c r="U49">
        <v>2991</v>
      </c>
      <c r="V49">
        <v>5822434</v>
      </c>
      <c r="W49">
        <v>140268</v>
      </c>
      <c r="X49">
        <v>13.2</v>
      </c>
      <c r="Y49">
        <v>63</v>
      </c>
      <c r="Z49" t="s">
        <v>146</v>
      </c>
      <c r="AA49">
        <v>67</v>
      </c>
      <c r="AB49">
        <v>322</v>
      </c>
      <c r="AC49" t="s">
        <v>128</v>
      </c>
      <c r="AD49" t="s">
        <v>44</v>
      </c>
      <c r="AE49" t="s">
        <v>134</v>
      </c>
      <c r="AF49" t="s">
        <v>149</v>
      </c>
    </row>
    <row r="50" spans="1:32">
      <c r="A50" t="s">
        <v>96</v>
      </c>
      <c r="B50" t="s">
        <v>193</v>
      </c>
      <c r="C50">
        <v>2019</v>
      </c>
      <c r="D50">
        <v>1583.4</v>
      </c>
      <c r="E50">
        <v>328.7</v>
      </c>
      <c r="F50">
        <v>1119.7</v>
      </c>
      <c r="G50">
        <v>135</v>
      </c>
      <c r="H50">
        <v>316.60000000000002</v>
      </c>
      <c r="I50">
        <v>249.1</v>
      </c>
      <c r="J50">
        <v>4.4000000000000004</v>
      </c>
      <c r="K50">
        <v>42.1</v>
      </c>
      <c r="L50">
        <v>21.1</v>
      </c>
      <c r="M50">
        <v>28376</v>
      </c>
      <c r="N50">
        <v>5891</v>
      </c>
      <c r="O50">
        <v>20066</v>
      </c>
      <c r="P50">
        <v>2419</v>
      </c>
      <c r="Q50">
        <v>5674</v>
      </c>
      <c r="R50">
        <v>4464</v>
      </c>
      <c r="S50">
        <v>78</v>
      </c>
      <c r="T50">
        <v>754</v>
      </c>
      <c r="U50">
        <v>378</v>
      </c>
      <c r="V50">
        <v>1792147</v>
      </c>
      <c r="W50">
        <v>62259</v>
      </c>
      <c r="X50">
        <v>18.3</v>
      </c>
      <c r="Y50">
        <v>47</v>
      </c>
      <c r="Z50" t="s">
        <v>140</v>
      </c>
      <c r="AA50">
        <v>45</v>
      </c>
      <c r="AB50">
        <v>72</v>
      </c>
      <c r="AC50" t="s">
        <v>128</v>
      </c>
      <c r="AD50" t="s">
        <v>10</v>
      </c>
      <c r="AE50" t="s">
        <v>138</v>
      </c>
      <c r="AF50" t="s">
        <v>149</v>
      </c>
    </row>
    <row r="51" spans="1:32">
      <c r="A51" t="s">
        <v>97</v>
      </c>
      <c r="B51" t="s">
        <v>194</v>
      </c>
      <c r="C51">
        <v>2019</v>
      </c>
      <c r="D51">
        <v>1571.1</v>
      </c>
      <c r="E51">
        <v>241.2</v>
      </c>
      <c r="F51">
        <v>1206.7</v>
      </c>
      <c r="G51">
        <v>123.2</v>
      </c>
      <c r="H51">
        <v>217.4</v>
      </c>
      <c r="I51">
        <v>147.6</v>
      </c>
      <c r="J51">
        <v>2.2000000000000002</v>
      </c>
      <c r="K51">
        <v>56</v>
      </c>
      <c r="L51">
        <v>11.6</v>
      </c>
      <c r="M51">
        <v>9093</v>
      </c>
      <c r="N51">
        <v>1396</v>
      </c>
      <c r="O51">
        <v>6984</v>
      </c>
      <c r="P51">
        <v>713</v>
      </c>
      <c r="Q51">
        <v>1258</v>
      </c>
      <c r="R51">
        <v>854</v>
      </c>
      <c r="S51">
        <v>13</v>
      </c>
      <c r="T51">
        <v>324</v>
      </c>
      <c r="U51">
        <v>67</v>
      </c>
      <c r="V51">
        <v>578759</v>
      </c>
      <c r="W51">
        <v>251470</v>
      </c>
      <c r="X51">
        <v>10.6</v>
      </c>
      <c r="Y51">
        <v>58</v>
      </c>
      <c r="Z51" t="s">
        <v>132</v>
      </c>
      <c r="AA51">
        <v>62</v>
      </c>
      <c r="AB51">
        <v>37</v>
      </c>
      <c r="AC51" t="s">
        <v>133</v>
      </c>
      <c r="AD51" t="s">
        <v>9</v>
      </c>
      <c r="AE51" t="s">
        <v>138</v>
      </c>
      <c r="AF51" t="s">
        <v>147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D937-AAA5-407A-B1C3-8EAA04B0D3A8}">
  <dimension ref="A1:Q61"/>
  <sheetViews>
    <sheetView tabSelected="1" topLeftCell="A27" zoomScaleNormal="100" workbookViewId="0">
      <selection activeCell="F27" sqref="F27"/>
    </sheetView>
  </sheetViews>
  <sheetFormatPr baseColWidth="10" defaultRowHeight="14.4"/>
  <cols>
    <col min="1" max="1" width="30.5546875" bestFit="1" customWidth="1"/>
    <col min="2" max="2" width="16.109375" bestFit="1" customWidth="1"/>
    <col min="3" max="3" width="15.44140625" bestFit="1" customWidth="1"/>
    <col min="4" max="4" width="14.44140625" bestFit="1" customWidth="1"/>
    <col min="5" max="5" width="45.88671875" bestFit="1" customWidth="1"/>
    <col min="6" max="6" width="12.44140625" bestFit="1" customWidth="1"/>
    <col min="7" max="7" width="13.44140625" bestFit="1" customWidth="1"/>
    <col min="8" max="8" width="21.77734375" bestFit="1" customWidth="1"/>
    <col min="10" max="10" width="9.6640625" bestFit="1" customWidth="1"/>
    <col min="11" max="11" width="14.109375" bestFit="1" customWidth="1"/>
    <col min="12" max="12" width="7.5546875" bestFit="1" customWidth="1"/>
    <col min="13" max="13" width="10.6640625" bestFit="1" customWidth="1"/>
    <col min="14" max="14" width="8.6640625" bestFit="1" customWidth="1"/>
    <col min="15" max="15" width="9.5546875" bestFit="1" customWidth="1"/>
    <col min="16" max="16" width="6.5546875" bestFit="1" customWidth="1"/>
    <col min="17" max="17" width="21.5546875" bestFit="1" customWidth="1"/>
    <col min="257" max="257" width="20.33203125" customWidth="1"/>
    <col min="260" max="260" width="18.6640625" customWidth="1"/>
    <col min="261" max="261" width="18.5546875" customWidth="1"/>
    <col min="262" max="262" width="22.6640625" customWidth="1"/>
    <col min="263" max="263" width="18.6640625" customWidth="1"/>
    <col min="513" max="513" width="20.33203125" customWidth="1"/>
    <col min="516" max="516" width="18.6640625" customWidth="1"/>
    <col min="517" max="517" width="18.5546875" customWidth="1"/>
    <col min="518" max="518" width="22.6640625" customWidth="1"/>
    <col min="519" max="519" width="18.6640625" customWidth="1"/>
    <col min="769" max="769" width="20.33203125" customWidth="1"/>
    <col min="772" max="772" width="18.6640625" customWidth="1"/>
    <col min="773" max="773" width="18.5546875" customWidth="1"/>
    <col min="774" max="774" width="22.6640625" customWidth="1"/>
    <col min="775" max="775" width="18.6640625" customWidth="1"/>
    <col min="1025" max="1025" width="20.33203125" customWidth="1"/>
    <col min="1028" max="1028" width="18.6640625" customWidth="1"/>
    <col min="1029" max="1029" width="18.5546875" customWidth="1"/>
    <col min="1030" max="1030" width="22.6640625" customWidth="1"/>
    <col min="1031" max="1031" width="18.6640625" customWidth="1"/>
    <col min="1281" max="1281" width="20.33203125" customWidth="1"/>
    <col min="1284" max="1284" width="18.6640625" customWidth="1"/>
    <col min="1285" max="1285" width="18.5546875" customWidth="1"/>
    <col min="1286" max="1286" width="22.6640625" customWidth="1"/>
    <col min="1287" max="1287" width="18.6640625" customWidth="1"/>
    <col min="1537" max="1537" width="20.33203125" customWidth="1"/>
    <col min="1540" max="1540" width="18.6640625" customWidth="1"/>
    <col min="1541" max="1541" width="18.5546875" customWidth="1"/>
    <col min="1542" max="1542" width="22.6640625" customWidth="1"/>
    <col min="1543" max="1543" width="18.6640625" customWidth="1"/>
    <col min="1793" max="1793" width="20.33203125" customWidth="1"/>
    <col min="1796" max="1796" width="18.6640625" customWidth="1"/>
    <col min="1797" max="1797" width="18.5546875" customWidth="1"/>
    <col min="1798" max="1798" width="22.6640625" customWidth="1"/>
    <col min="1799" max="1799" width="18.6640625" customWidth="1"/>
    <col min="2049" max="2049" width="20.33203125" customWidth="1"/>
    <col min="2052" max="2052" width="18.6640625" customWidth="1"/>
    <col min="2053" max="2053" width="18.5546875" customWidth="1"/>
    <col min="2054" max="2054" width="22.6640625" customWidth="1"/>
    <col min="2055" max="2055" width="18.6640625" customWidth="1"/>
    <col min="2305" max="2305" width="20.33203125" customWidth="1"/>
    <col min="2308" max="2308" width="18.6640625" customWidth="1"/>
    <col min="2309" max="2309" width="18.5546875" customWidth="1"/>
    <col min="2310" max="2310" width="22.6640625" customWidth="1"/>
    <col min="2311" max="2311" width="18.6640625" customWidth="1"/>
    <col min="2561" max="2561" width="20.33203125" customWidth="1"/>
    <col min="2564" max="2564" width="18.6640625" customWidth="1"/>
    <col min="2565" max="2565" width="18.5546875" customWidth="1"/>
    <col min="2566" max="2566" width="22.6640625" customWidth="1"/>
    <col min="2567" max="2567" width="18.6640625" customWidth="1"/>
    <col min="2817" max="2817" width="20.33203125" customWidth="1"/>
    <col min="2820" max="2820" width="18.6640625" customWidth="1"/>
    <col min="2821" max="2821" width="18.5546875" customWidth="1"/>
    <col min="2822" max="2822" width="22.6640625" customWidth="1"/>
    <col min="2823" max="2823" width="18.6640625" customWidth="1"/>
    <col min="3073" max="3073" width="20.33203125" customWidth="1"/>
    <col min="3076" max="3076" width="18.6640625" customWidth="1"/>
    <col min="3077" max="3077" width="18.5546875" customWidth="1"/>
    <col min="3078" max="3078" width="22.6640625" customWidth="1"/>
    <col min="3079" max="3079" width="18.6640625" customWidth="1"/>
    <col min="3329" max="3329" width="20.33203125" customWidth="1"/>
    <col min="3332" max="3332" width="18.6640625" customWidth="1"/>
    <col min="3333" max="3333" width="18.5546875" customWidth="1"/>
    <col min="3334" max="3334" width="22.6640625" customWidth="1"/>
    <col min="3335" max="3335" width="18.6640625" customWidth="1"/>
    <col min="3585" max="3585" width="20.33203125" customWidth="1"/>
    <col min="3588" max="3588" width="18.6640625" customWidth="1"/>
    <col min="3589" max="3589" width="18.5546875" customWidth="1"/>
    <col min="3590" max="3590" width="22.6640625" customWidth="1"/>
    <col min="3591" max="3591" width="18.6640625" customWidth="1"/>
    <col min="3841" max="3841" width="20.33203125" customWidth="1"/>
    <col min="3844" max="3844" width="18.6640625" customWidth="1"/>
    <col min="3845" max="3845" width="18.5546875" customWidth="1"/>
    <col min="3846" max="3846" width="22.6640625" customWidth="1"/>
    <col min="3847" max="3847" width="18.6640625" customWidth="1"/>
    <col min="4097" max="4097" width="20.33203125" customWidth="1"/>
    <col min="4100" max="4100" width="18.6640625" customWidth="1"/>
    <col min="4101" max="4101" width="18.5546875" customWidth="1"/>
    <col min="4102" max="4102" width="22.6640625" customWidth="1"/>
    <col min="4103" max="4103" width="18.6640625" customWidth="1"/>
    <col min="4353" max="4353" width="20.33203125" customWidth="1"/>
    <col min="4356" max="4356" width="18.6640625" customWidth="1"/>
    <col min="4357" max="4357" width="18.5546875" customWidth="1"/>
    <col min="4358" max="4358" width="22.6640625" customWidth="1"/>
    <col min="4359" max="4359" width="18.6640625" customWidth="1"/>
    <col min="4609" max="4609" width="20.33203125" customWidth="1"/>
    <col min="4612" max="4612" width="18.6640625" customWidth="1"/>
    <col min="4613" max="4613" width="18.5546875" customWidth="1"/>
    <col min="4614" max="4614" width="22.6640625" customWidth="1"/>
    <col min="4615" max="4615" width="18.6640625" customWidth="1"/>
    <col min="4865" max="4865" width="20.33203125" customWidth="1"/>
    <col min="4868" max="4868" width="18.6640625" customWidth="1"/>
    <col min="4869" max="4869" width="18.5546875" customWidth="1"/>
    <col min="4870" max="4870" width="22.6640625" customWidth="1"/>
    <col min="4871" max="4871" width="18.6640625" customWidth="1"/>
    <col min="5121" max="5121" width="20.33203125" customWidth="1"/>
    <col min="5124" max="5124" width="18.6640625" customWidth="1"/>
    <col min="5125" max="5125" width="18.5546875" customWidth="1"/>
    <col min="5126" max="5126" width="22.6640625" customWidth="1"/>
    <col min="5127" max="5127" width="18.6640625" customWidth="1"/>
    <col min="5377" max="5377" width="20.33203125" customWidth="1"/>
    <col min="5380" max="5380" width="18.6640625" customWidth="1"/>
    <col min="5381" max="5381" width="18.5546875" customWidth="1"/>
    <col min="5382" max="5382" width="22.6640625" customWidth="1"/>
    <col min="5383" max="5383" width="18.6640625" customWidth="1"/>
    <col min="5633" max="5633" width="20.33203125" customWidth="1"/>
    <col min="5636" max="5636" width="18.6640625" customWidth="1"/>
    <col min="5637" max="5637" width="18.5546875" customWidth="1"/>
    <col min="5638" max="5638" width="22.6640625" customWidth="1"/>
    <col min="5639" max="5639" width="18.6640625" customWidth="1"/>
    <col min="5889" max="5889" width="20.33203125" customWidth="1"/>
    <col min="5892" max="5892" width="18.6640625" customWidth="1"/>
    <col min="5893" max="5893" width="18.5546875" customWidth="1"/>
    <col min="5894" max="5894" width="22.6640625" customWidth="1"/>
    <col min="5895" max="5895" width="18.6640625" customWidth="1"/>
    <col min="6145" max="6145" width="20.33203125" customWidth="1"/>
    <col min="6148" max="6148" width="18.6640625" customWidth="1"/>
    <col min="6149" max="6149" width="18.5546875" customWidth="1"/>
    <col min="6150" max="6150" width="22.6640625" customWidth="1"/>
    <col min="6151" max="6151" width="18.6640625" customWidth="1"/>
    <col min="6401" max="6401" width="20.33203125" customWidth="1"/>
    <col min="6404" max="6404" width="18.6640625" customWidth="1"/>
    <col min="6405" max="6405" width="18.5546875" customWidth="1"/>
    <col min="6406" max="6406" width="22.6640625" customWidth="1"/>
    <col min="6407" max="6407" width="18.6640625" customWidth="1"/>
    <col min="6657" max="6657" width="20.33203125" customWidth="1"/>
    <col min="6660" max="6660" width="18.6640625" customWidth="1"/>
    <col min="6661" max="6661" width="18.5546875" customWidth="1"/>
    <col min="6662" max="6662" width="22.6640625" customWidth="1"/>
    <col min="6663" max="6663" width="18.6640625" customWidth="1"/>
    <col min="6913" max="6913" width="20.33203125" customWidth="1"/>
    <col min="6916" max="6916" width="18.6640625" customWidth="1"/>
    <col min="6917" max="6917" width="18.5546875" customWidth="1"/>
    <col min="6918" max="6918" width="22.6640625" customWidth="1"/>
    <col min="6919" max="6919" width="18.6640625" customWidth="1"/>
    <col min="7169" max="7169" width="20.33203125" customWidth="1"/>
    <col min="7172" max="7172" width="18.6640625" customWidth="1"/>
    <col min="7173" max="7173" width="18.5546875" customWidth="1"/>
    <col min="7174" max="7174" width="22.6640625" customWidth="1"/>
    <col min="7175" max="7175" width="18.6640625" customWidth="1"/>
    <col min="7425" max="7425" width="20.33203125" customWidth="1"/>
    <col min="7428" max="7428" width="18.6640625" customWidth="1"/>
    <col min="7429" max="7429" width="18.5546875" customWidth="1"/>
    <col min="7430" max="7430" width="22.6640625" customWidth="1"/>
    <col min="7431" max="7431" width="18.6640625" customWidth="1"/>
    <col min="7681" max="7681" width="20.33203125" customWidth="1"/>
    <col min="7684" max="7684" width="18.6640625" customWidth="1"/>
    <col min="7685" max="7685" width="18.5546875" customWidth="1"/>
    <col min="7686" max="7686" width="22.6640625" customWidth="1"/>
    <col min="7687" max="7687" width="18.6640625" customWidth="1"/>
    <col min="7937" max="7937" width="20.33203125" customWidth="1"/>
    <col min="7940" max="7940" width="18.6640625" customWidth="1"/>
    <col min="7941" max="7941" width="18.5546875" customWidth="1"/>
    <col min="7942" max="7942" width="22.6640625" customWidth="1"/>
    <col min="7943" max="7943" width="18.6640625" customWidth="1"/>
    <col min="8193" max="8193" width="20.33203125" customWidth="1"/>
    <col min="8196" max="8196" width="18.6640625" customWidth="1"/>
    <col min="8197" max="8197" width="18.5546875" customWidth="1"/>
    <col min="8198" max="8198" width="22.6640625" customWidth="1"/>
    <col min="8199" max="8199" width="18.6640625" customWidth="1"/>
    <col min="8449" max="8449" width="20.33203125" customWidth="1"/>
    <col min="8452" max="8452" width="18.6640625" customWidth="1"/>
    <col min="8453" max="8453" width="18.5546875" customWidth="1"/>
    <col min="8454" max="8454" width="22.6640625" customWidth="1"/>
    <col min="8455" max="8455" width="18.6640625" customWidth="1"/>
    <col min="8705" max="8705" width="20.33203125" customWidth="1"/>
    <col min="8708" max="8708" width="18.6640625" customWidth="1"/>
    <col min="8709" max="8709" width="18.5546875" customWidth="1"/>
    <col min="8710" max="8710" width="22.6640625" customWidth="1"/>
    <col min="8711" max="8711" width="18.6640625" customWidth="1"/>
    <col min="8961" max="8961" width="20.33203125" customWidth="1"/>
    <col min="8964" max="8964" width="18.6640625" customWidth="1"/>
    <col min="8965" max="8965" width="18.5546875" customWidth="1"/>
    <col min="8966" max="8966" width="22.6640625" customWidth="1"/>
    <col min="8967" max="8967" width="18.6640625" customWidth="1"/>
    <col min="9217" max="9217" width="20.33203125" customWidth="1"/>
    <col min="9220" max="9220" width="18.6640625" customWidth="1"/>
    <col min="9221" max="9221" width="18.5546875" customWidth="1"/>
    <col min="9222" max="9222" width="22.6640625" customWidth="1"/>
    <col min="9223" max="9223" width="18.6640625" customWidth="1"/>
    <col min="9473" max="9473" width="20.33203125" customWidth="1"/>
    <col min="9476" max="9476" width="18.6640625" customWidth="1"/>
    <col min="9477" max="9477" width="18.5546875" customWidth="1"/>
    <col min="9478" max="9478" width="22.6640625" customWidth="1"/>
    <col min="9479" max="9479" width="18.6640625" customWidth="1"/>
    <col min="9729" max="9729" width="20.33203125" customWidth="1"/>
    <col min="9732" max="9732" width="18.6640625" customWidth="1"/>
    <col min="9733" max="9733" width="18.5546875" customWidth="1"/>
    <col min="9734" max="9734" width="22.6640625" customWidth="1"/>
    <col min="9735" max="9735" width="18.6640625" customWidth="1"/>
    <col min="9985" max="9985" width="20.33203125" customWidth="1"/>
    <col min="9988" max="9988" width="18.6640625" customWidth="1"/>
    <col min="9989" max="9989" width="18.5546875" customWidth="1"/>
    <col min="9990" max="9990" width="22.6640625" customWidth="1"/>
    <col min="9991" max="9991" width="18.6640625" customWidth="1"/>
    <col min="10241" max="10241" width="20.33203125" customWidth="1"/>
    <col min="10244" max="10244" width="18.6640625" customWidth="1"/>
    <col min="10245" max="10245" width="18.5546875" customWidth="1"/>
    <col min="10246" max="10246" width="22.6640625" customWidth="1"/>
    <col min="10247" max="10247" width="18.6640625" customWidth="1"/>
    <col min="10497" max="10497" width="20.33203125" customWidth="1"/>
    <col min="10500" max="10500" width="18.6640625" customWidth="1"/>
    <col min="10501" max="10501" width="18.5546875" customWidth="1"/>
    <col min="10502" max="10502" width="22.6640625" customWidth="1"/>
    <col min="10503" max="10503" width="18.6640625" customWidth="1"/>
    <col min="10753" max="10753" width="20.33203125" customWidth="1"/>
    <col min="10756" max="10756" width="18.6640625" customWidth="1"/>
    <col min="10757" max="10757" width="18.5546875" customWidth="1"/>
    <col min="10758" max="10758" width="22.6640625" customWidth="1"/>
    <col min="10759" max="10759" width="18.6640625" customWidth="1"/>
    <col min="11009" max="11009" width="20.33203125" customWidth="1"/>
    <col min="11012" max="11012" width="18.6640625" customWidth="1"/>
    <col min="11013" max="11013" width="18.5546875" customWidth="1"/>
    <col min="11014" max="11014" width="22.6640625" customWidth="1"/>
    <col min="11015" max="11015" width="18.6640625" customWidth="1"/>
    <col min="11265" max="11265" width="20.33203125" customWidth="1"/>
    <col min="11268" max="11268" width="18.6640625" customWidth="1"/>
    <col min="11269" max="11269" width="18.5546875" customWidth="1"/>
    <col min="11270" max="11270" width="22.6640625" customWidth="1"/>
    <col min="11271" max="11271" width="18.6640625" customWidth="1"/>
    <col min="11521" max="11521" width="20.33203125" customWidth="1"/>
    <col min="11524" max="11524" width="18.6640625" customWidth="1"/>
    <col min="11525" max="11525" width="18.5546875" customWidth="1"/>
    <col min="11526" max="11526" width="22.6640625" customWidth="1"/>
    <col min="11527" max="11527" width="18.6640625" customWidth="1"/>
    <col min="11777" max="11777" width="20.33203125" customWidth="1"/>
    <col min="11780" max="11780" width="18.6640625" customWidth="1"/>
    <col min="11781" max="11781" width="18.5546875" customWidth="1"/>
    <col min="11782" max="11782" width="22.6640625" customWidth="1"/>
    <col min="11783" max="11783" width="18.6640625" customWidth="1"/>
    <col min="12033" max="12033" width="20.33203125" customWidth="1"/>
    <col min="12036" max="12036" width="18.6640625" customWidth="1"/>
    <col min="12037" max="12037" width="18.5546875" customWidth="1"/>
    <col min="12038" max="12038" width="22.6640625" customWidth="1"/>
    <col min="12039" max="12039" width="18.6640625" customWidth="1"/>
    <col min="12289" max="12289" width="20.33203125" customWidth="1"/>
    <col min="12292" max="12292" width="18.6640625" customWidth="1"/>
    <col min="12293" max="12293" width="18.5546875" customWidth="1"/>
    <col min="12294" max="12294" width="22.6640625" customWidth="1"/>
    <col min="12295" max="12295" width="18.6640625" customWidth="1"/>
    <col min="12545" max="12545" width="20.33203125" customWidth="1"/>
    <col min="12548" max="12548" width="18.6640625" customWidth="1"/>
    <col min="12549" max="12549" width="18.5546875" customWidth="1"/>
    <col min="12550" max="12550" width="22.6640625" customWidth="1"/>
    <col min="12551" max="12551" width="18.6640625" customWidth="1"/>
    <col min="12801" max="12801" width="20.33203125" customWidth="1"/>
    <col min="12804" max="12804" width="18.6640625" customWidth="1"/>
    <col min="12805" max="12805" width="18.5546875" customWidth="1"/>
    <col min="12806" max="12806" width="22.6640625" customWidth="1"/>
    <col min="12807" max="12807" width="18.6640625" customWidth="1"/>
    <col min="13057" max="13057" width="20.33203125" customWidth="1"/>
    <col min="13060" max="13060" width="18.6640625" customWidth="1"/>
    <col min="13061" max="13061" width="18.5546875" customWidth="1"/>
    <col min="13062" max="13062" width="22.6640625" customWidth="1"/>
    <col min="13063" max="13063" width="18.6640625" customWidth="1"/>
    <col min="13313" max="13313" width="20.33203125" customWidth="1"/>
    <col min="13316" max="13316" width="18.6640625" customWidth="1"/>
    <col min="13317" max="13317" width="18.5546875" customWidth="1"/>
    <col min="13318" max="13318" width="22.6640625" customWidth="1"/>
    <col min="13319" max="13319" width="18.6640625" customWidth="1"/>
    <col min="13569" max="13569" width="20.33203125" customWidth="1"/>
    <col min="13572" max="13572" width="18.6640625" customWidth="1"/>
    <col min="13573" max="13573" width="18.5546875" customWidth="1"/>
    <col min="13574" max="13574" width="22.6640625" customWidth="1"/>
    <col min="13575" max="13575" width="18.6640625" customWidth="1"/>
    <col min="13825" max="13825" width="20.33203125" customWidth="1"/>
    <col min="13828" max="13828" width="18.6640625" customWidth="1"/>
    <col min="13829" max="13829" width="18.5546875" customWidth="1"/>
    <col min="13830" max="13830" width="22.6640625" customWidth="1"/>
    <col min="13831" max="13831" width="18.6640625" customWidth="1"/>
    <col min="14081" max="14081" width="20.33203125" customWidth="1"/>
    <col min="14084" max="14084" width="18.6640625" customWidth="1"/>
    <col min="14085" max="14085" width="18.5546875" customWidth="1"/>
    <col min="14086" max="14086" width="22.6640625" customWidth="1"/>
    <col min="14087" max="14087" width="18.6640625" customWidth="1"/>
    <col min="14337" max="14337" width="20.33203125" customWidth="1"/>
    <col min="14340" max="14340" width="18.6640625" customWidth="1"/>
    <col min="14341" max="14341" width="18.5546875" customWidth="1"/>
    <col min="14342" max="14342" width="22.6640625" customWidth="1"/>
    <col min="14343" max="14343" width="18.6640625" customWidth="1"/>
    <col min="14593" max="14593" width="20.33203125" customWidth="1"/>
    <col min="14596" max="14596" width="18.6640625" customWidth="1"/>
    <col min="14597" max="14597" width="18.5546875" customWidth="1"/>
    <col min="14598" max="14598" width="22.6640625" customWidth="1"/>
    <col min="14599" max="14599" width="18.6640625" customWidth="1"/>
    <col min="14849" max="14849" width="20.33203125" customWidth="1"/>
    <col min="14852" max="14852" width="18.6640625" customWidth="1"/>
    <col min="14853" max="14853" width="18.5546875" customWidth="1"/>
    <col min="14854" max="14854" width="22.6640625" customWidth="1"/>
    <col min="14855" max="14855" width="18.6640625" customWidth="1"/>
    <col min="15105" max="15105" width="20.33203125" customWidth="1"/>
    <col min="15108" max="15108" width="18.6640625" customWidth="1"/>
    <col min="15109" max="15109" width="18.5546875" customWidth="1"/>
    <col min="15110" max="15110" width="22.6640625" customWidth="1"/>
    <col min="15111" max="15111" width="18.6640625" customWidth="1"/>
    <col min="15361" max="15361" width="20.33203125" customWidth="1"/>
    <col min="15364" max="15364" width="18.6640625" customWidth="1"/>
    <col min="15365" max="15365" width="18.5546875" customWidth="1"/>
    <col min="15366" max="15366" width="22.6640625" customWidth="1"/>
    <col min="15367" max="15367" width="18.6640625" customWidth="1"/>
    <col min="15617" max="15617" width="20.33203125" customWidth="1"/>
    <col min="15620" max="15620" width="18.6640625" customWidth="1"/>
    <col min="15621" max="15621" width="18.5546875" customWidth="1"/>
    <col min="15622" max="15622" width="22.6640625" customWidth="1"/>
    <col min="15623" max="15623" width="18.6640625" customWidth="1"/>
    <col min="15873" max="15873" width="20.33203125" customWidth="1"/>
    <col min="15876" max="15876" width="18.6640625" customWidth="1"/>
    <col min="15877" max="15877" width="18.5546875" customWidth="1"/>
    <col min="15878" max="15878" width="22.6640625" customWidth="1"/>
    <col min="15879" max="15879" width="18.6640625" customWidth="1"/>
    <col min="16129" max="16129" width="20.33203125" customWidth="1"/>
    <col min="16132" max="16132" width="18.6640625" customWidth="1"/>
    <col min="16133" max="16133" width="18.5546875" customWidth="1"/>
    <col min="16134" max="16134" width="22.6640625" customWidth="1"/>
    <col min="16135" max="16135" width="18.6640625" customWidth="1"/>
  </cols>
  <sheetData>
    <row r="1" spans="1:17">
      <c r="A1" s="1" t="s">
        <v>0</v>
      </c>
      <c r="B1" s="2" t="s">
        <v>99</v>
      </c>
      <c r="C1" s="2"/>
      <c r="E1" s="10" t="s">
        <v>20</v>
      </c>
      <c r="G1" s="2"/>
    </row>
    <row r="2" spans="1:17">
      <c r="A2" s="1" t="s">
        <v>1</v>
      </c>
      <c r="B2" s="2" t="s">
        <v>100</v>
      </c>
      <c r="C2" s="2"/>
      <c r="E2" s="9"/>
      <c r="G2" s="2"/>
    </row>
    <row r="3" spans="1:17">
      <c r="A3" s="1" t="s">
        <v>2</v>
      </c>
      <c r="B3" s="2" t="s">
        <v>101</v>
      </c>
      <c r="C3" s="2"/>
      <c r="E3" s="9"/>
    </row>
    <row r="9" spans="1:17">
      <c r="B9" s="6" t="s">
        <v>5</v>
      </c>
      <c r="C9" s="6" t="s">
        <v>39</v>
      </c>
      <c r="D9" s="6" t="s">
        <v>40</v>
      </c>
      <c r="E9" s="6" t="s">
        <v>41</v>
      </c>
      <c r="F9" s="6" t="s">
        <v>3</v>
      </c>
      <c r="G9" s="6" t="s">
        <v>4</v>
      </c>
      <c r="H9" s="6" t="s">
        <v>42</v>
      </c>
      <c r="K9" s="6" t="s">
        <v>5</v>
      </c>
      <c r="L9" s="6" t="s">
        <v>39</v>
      </c>
      <c r="M9" s="6" t="s">
        <v>40</v>
      </c>
      <c r="N9" s="6" t="s">
        <v>41</v>
      </c>
      <c r="O9" s="6" t="s">
        <v>3</v>
      </c>
      <c r="P9" s="6" t="s">
        <v>4</v>
      </c>
      <c r="Q9" s="6" t="s">
        <v>42</v>
      </c>
    </row>
    <row r="10" spans="1:17">
      <c r="A10" s="3" t="s">
        <v>6</v>
      </c>
      <c r="B10" s="18" t="str">
        <f>INDEX(crimesUSA[ETAT],MATCH(SMALL(crimesUSA[T_CAMBRIOLAGE],1),crimesUSA[T_CAMBRIOLAGE],0))</f>
        <v>NEW HAMPSHIRE</v>
      </c>
      <c r="C10" s="18" t="str">
        <f>INDEX(crimesUSA[ETAT],MATCH(SMALL(crimesUSA[T_VOL],1),crimesUSA[T_VOL],0))</f>
        <v>IDAHO</v>
      </c>
      <c r="D10" s="18" t="str">
        <f>INDEX(crimesUSA[ETAT],MATCH(SMALL(crimesUSA[T_VOL_AUTO],1),crimesUSA[T_VOL_AUTO],0))</f>
        <v>VERMONT</v>
      </c>
      <c r="E10" s="18" t="str">
        <f>INDEX(crimesUSA[ETAT],MATCH(SMALL(crimesUSA[T_MENACE],1),crimesUSA[T_MENACE],0))</f>
        <v>MAINE</v>
      </c>
      <c r="F10" s="18" t="str">
        <f>INDEX(crimesUSA[ETAT],MATCH(SMALL(crimesUSA[T_MEURTRE],1),crimesUSA[T_MEURTRE],0))</f>
        <v>MAINE</v>
      </c>
      <c r="G10" s="18" t="str">
        <f>INDEX(crimesUSA[ETAT],MATCH(SMALL(crimesUSA[T_VIOL],1),crimesUSA[T_VIOL],0))</f>
        <v>NEW JERSEY</v>
      </c>
      <c r="H10" s="18" t="str">
        <f>INDEX(crimesUSA[ETAT],MATCH(SMALL(crimesUSA[T_AGRESSION_PHYSIQUE],1),crimesUSA[T_AGRESSION_PHYSIQUE],0))</f>
        <v>IDAHO</v>
      </c>
    </row>
    <row r="11" spans="1:17">
      <c r="B11" s="4" t="str">
        <f>INDEX(crimesUSA[ETAT],MATCH(SMALL(crimesUSA[T_CAMBRIOLAGE],2),crimesUSA[T_CAMBRIOLAGE],0))</f>
        <v>NEW YORK</v>
      </c>
      <c r="C11" s="18" t="str">
        <f>INDEX(crimesUSA[ETAT],MATCH(SMALL(crimesUSA[T_VOL],3),crimesUSA[T_VOL],0))</f>
        <v>MAINE</v>
      </c>
      <c r="D11" s="18" t="str">
        <f>INDEX(crimesUSA[ETAT],MATCH(SMALL(crimesUSA[T_VOL_AUTO],2),crimesUSA[T_VOL_AUTO],0))</f>
        <v>MAINE</v>
      </c>
      <c r="E11" s="18" t="str">
        <f>INDEX(crimesUSA[ETAT],MATCH(SMALL(crimesUSA[T_MENACE],2),crimesUSA[T_MENACE],0))</f>
        <v>NEW HAMPSHIRE</v>
      </c>
      <c r="F11" s="18" t="str">
        <f>INDEX(crimesUSA[ETAT],MATCH(SMALL(crimesUSA[T_MEURTRE],2),crimesUSA[T_MEURTRE],0))</f>
        <v>VERMONT</v>
      </c>
      <c r="G11" s="18" t="str">
        <f>INDEX(crimesUSA[ETAT],MATCH(SMALL(crimesUSA[T_VIOL],2),crimesUSA[T_VIOL],0))</f>
        <v>CONNECTICUT</v>
      </c>
      <c r="H11" s="18" t="str">
        <f>INDEX(crimesUSA[ETAT],MATCH(SMALL(crimesUSA[T_AGRESSION_PHYSIQUE],2),crimesUSA[T_AGRESSION_PHYSIQUE],0))</f>
        <v>VERMONT</v>
      </c>
      <c r="J11" t="s">
        <v>27</v>
      </c>
      <c r="K11" s="19">
        <f>MIN(crimesUSA[T_CAMBRIOLAGE])</f>
        <v>126.3</v>
      </c>
      <c r="L11" s="19">
        <f>MIN(crimesUSA[T_VOL])</f>
        <v>911.8</v>
      </c>
      <c r="M11" s="19">
        <f>MIN(crimesUSA[T_VOL_AUTO])</f>
        <v>47.8</v>
      </c>
      <c r="N11" s="19">
        <f>MIN(crimesUSA[T_MENACE])</f>
        <v>61.3</v>
      </c>
      <c r="O11" s="19">
        <f>MIN(crimesUSA[T_MEURTRE])</f>
        <v>1.5</v>
      </c>
      <c r="P11" s="19">
        <f>MIN(crimesUSA[T_VIOL])</f>
        <v>17.2</v>
      </c>
      <c r="Q11" s="19">
        <f>MIN(crimesUSA[T_AGRESSION_PHYSIQUE])</f>
        <v>8.6999999999999993</v>
      </c>
    </row>
    <row r="12" spans="1:17">
      <c r="B12" s="4" t="str">
        <f>INDEX(crimesUSA[ETAT],MATCH(SMALL(crimesUSA[T_CAMBRIOLAGE],3),crimesUSA[T_CAMBRIOLAGE],0))</f>
        <v>VIRGINIA</v>
      </c>
      <c r="C12" s="18" t="str">
        <f>INDEX(crimesUSA[ETAT],MATCH(SMALL(crimesUSA[T_VOL],4),crimesUSA[T_VOL],0))</f>
        <v>NEW HAMPSHIRE</v>
      </c>
      <c r="D12" s="18" t="str">
        <f>INDEX(crimesUSA[ETAT],MATCH(SMALL(crimesUSA[T_VOL_AUTO],3),crimesUSA[T_VOL_AUTO],0))</f>
        <v>NEW YORK</v>
      </c>
      <c r="E12" s="18" t="str">
        <f>INDEX(crimesUSA[ETAT],MATCH(SMALL(crimesUSA[T_MENACE],3),crimesUSA[T_MENACE],0))</f>
        <v>CONNECTICUT</v>
      </c>
      <c r="F12" s="18" t="str">
        <f>INDEX(crimesUSA[ETAT],MATCH(SMALL(crimesUSA[T_MEURTRE],3),crimesUSA[T_MEURTRE],0))</f>
        <v>IOWA</v>
      </c>
      <c r="G12" s="18" t="str">
        <f>INDEX(crimesUSA[ETAT],MATCH(SMALL(crimesUSA[T_VIOL],3),crimesUSA[T_VIOL],0))</f>
        <v>MISSISSIPPI</v>
      </c>
      <c r="H12" s="18" t="str">
        <f>INDEX(crimesUSA[ETAT],MATCH(SMALL(crimesUSA[T_AGRESSION_PHYSIQUE],3),crimesUSA[T_AGRESSION_PHYSIQUE],0))</f>
        <v>WYOMING</v>
      </c>
      <c r="J12" t="s">
        <v>28</v>
      </c>
      <c r="K12" s="19">
        <f>MAX(crimesUSA[T_CAMBRIOLAGE])</f>
        <v>696.8</v>
      </c>
      <c r="L12" s="19">
        <f>MAX(crimesUSA[T_VOL])</f>
        <v>2352.4</v>
      </c>
      <c r="M12" s="19">
        <f>MAX(crimesUSA[T_VOL_AUTO])</f>
        <v>427.2</v>
      </c>
      <c r="N12" s="19">
        <f>MAX(crimesUSA[T_MENACE])</f>
        <v>650.5</v>
      </c>
      <c r="O12" s="19">
        <f>MAX(crimesUSA[T_MEURTRE])</f>
        <v>11.7</v>
      </c>
      <c r="P12" s="19">
        <f>MAX(crimesUSA[T_VIOL])</f>
        <v>148.69999999999999</v>
      </c>
      <c r="Q12" s="19">
        <f>MAX(crimesUSA[T_AGRESSION_PHYSIQUE])</f>
        <v>152.19999999999999</v>
      </c>
    </row>
    <row r="13" spans="1:17">
      <c r="J13" t="s">
        <v>29</v>
      </c>
      <c r="K13" s="19">
        <f>AVERAGE(crimesUSA[T_CAMBRIOLAGE])</f>
        <v>347.29599999999994</v>
      </c>
      <c r="L13" s="19">
        <f>AVERAGE(crimesUSA[T_VOL])</f>
        <v>1536.4559999999997</v>
      </c>
      <c r="M13" s="19">
        <f>AVERAGE(crimesUSA[T_VOL_AUTO])</f>
        <v>212.92999999999995</v>
      </c>
      <c r="N13" s="19">
        <f>AVERAGE(crimesUSA[T_MENACE])</f>
        <v>250.50399999999999</v>
      </c>
      <c r="O13" s="19">
        <f>AVERAGE(crimesUSA[T_MEURTRE])</f>
        <v>4.7779999999999996</v>
      </c>
      <c r="P13" s="19">
        <f>AVERAGE(crimesUSA[T_VIOL])</f>
        <v>47.632000000000005</v>
      </c>
      <c r="Q13" s="19">
        <f>AVERAGE(crimesUSA[T_AGRESSION_PHYSIQUE])</f>
        <v>62.583999999999996</v>
      </c>
    </row>
    <row r="14" spans="1:17">
      <c r="J14" t="s">
        <v>30</v>
      </c>
      <c r="K14" s="19">
        <f>_xlfn.QUARTILE.INC(crimesUSA[T_CAMBRIOLAGE],2)</f>
        <v>335.45</v>
      </c>
      <c r="L14" s="19">
        <f>_xlfn.QUARTILE.INC(crimesUSA[T_VOL],2)</f>
        <v>1546</v>
      </c>
      <c r="M14" s="19">
        <f>_xlfn.QUARTILE.INC(crimesUSA[T_VOL_AUTO],2)</f>
        <v>201.35000000000002</v>
      </c>
      <c r="N14" s="19">
        <f>_xlfn.QUARTILE.INC(crimesUSA[T_MENACE],2)</f>
        <v>243.65</v>
      </c>
      <c r="O14" s="19">
        <f>_xlfn.QUARTILE.INC(crimesUSA[T_MEURTRE],2)</f>
        <v>4.5</v>
      </c>
      <c r="P14" s="19">
        <f>_xlfn.QUARTILE.INC(crimesUSA[T_VIOL],2)</f>
        <v>44.2</v>
      </c>
      <c r="Q14" s="19">
        <f>_xlfn.QUARTILE.INC(crimesUSA[T_AGRESSION_PHYSIQUE],2)</f>
        <v>61.75</v>
      </c>
    </row>
    <row r="15" spans="1:17">
      <c r="A15" s="3" t="s">
        <v>7</v>
      </c>
      <c r="B15" s="18" t="str">
        <f>INDEX(crimesUSA[ETAT],MATCH(LARGE(crimesUSA[T_CAMBRIOLAGE],1),crimesUSA[T_CAMBRIOLAGE],0))</f>
        <v>NEW MEXICO</v>
      </c>
      <c r="C15" s="18" t="str">
        <f>INDEX(crimesUSA[ETAT],MATCH(LARGE(crimesUSA[T_VOL],1),crimesUSA[T_VOL],0))</f>
        <v>LOUISIANA</v>
      </c>
      <c r="D15" s="18" t="str">
        <f>INDEX(crimesUSA[ETAT],MATCH(LARGE(crimesUSA[T_VOL_AUTO],1),crimesUSA[T_VOL_AUTO],0))</f>
        <v>NEW MEXICO</v>
      </c>
      <c r="E15" s="18" t="str">
        <f>INDEX(crimesUSA[ETAT],MATCH(LARGE(crimesUSA[T_MENACE],1),crimesUSA[T_MENACE],0))</f>
        <v>NEW MEXICO</v>
      </c>
      <c r="F15" s="18" t="str">
        <f>INDEX(crimesUSA[ETAT],MATCH(LARGE(crimesUSA[T_MEURTRE],1),crimesUSA[T_MEURTRE],0))</f>
        <v>LOUISIANA</v>
      </c>
      <c r="G15" s="18" t="str">
        <f>INDEX(crimesUSA[ETAT],MATCH(LARGE(crimesUSA[T_VIOL],1),crimesUSA[T_VIOL],0))</f>
        <v>ALASKA</v>
      </c>
      <c r="H15" s="18" t="str">
        <f>INDEX(crimesUSA[ETAT],MATCH(LARGE(crimesUSA[T_AGRESSION_PHYSIQUE],1),crimesUSA[T_AGRESSION_PHYSIQUE],0))</f>
        <v>MARYLAND</v>
      </c>
      <c r="J15" t="s">
        <v>31</v>
      </c>
      <c r="K15" s="19">
        <f>_xlfn.STDEV.P(crimesUSA[T_CAMBRIOLAGE])</f>
        <v>140.95538153614433</v>
      </c>
      <c r="L15" s="19">
        <f>_xlfn.STDEV.P(crimesUSA[T_VOL])</f>
        <v>363.34145216861879</v>
      </c>
      <c r="M15" s="19">
        <f>_xlfn.STDEV.P(crimesUSA[T_VOL_AUTO])</f>
        <v>95.98542233068541</v>
      </c>
      <c r="N15" s="19">
        <f>_xlfn.STDEV.P(crimesUSA[T_MENACE])</f>
        <v>118.9333543796693</v>
      </c>
      <c r="O15" s="19">
        <f>_xlfn.STDEV.P(crimesUSA[T_MEURTRE])</f>
        <v>2.6086233917528232</v>
      </c>
      <c r="P15" s="19">
        <f>_xlfn.STDEV.P(crimesUSA[T_VIOL])</f>
        <v>19.636154817071461</v>
      </c>
      <c r="Q15" s="19">
        <f>_xlfn.STDEV.P(crimesUSA[T_AGRESSION_PHYSIQUE])</f>
        <v>32.00451443156107</v>
      </c>
    </row>
    <row r="16" spans="1:17">
      <c r="B16" s="4" t="str">
        <f>INDEX(crimesUSA[ETAT],MATCH(LARGE(crimesUSA[T_CAMBRIOLAGE],2),crimesUSA[T_CAMBRIOLAGE],0))</f>
        <v>OKLAHOMA</v>
      </c>
      <c r="C16" s="18" t="str">
        <f>INDEX(crimesUSA[ETAT],MATCH(LARGE(crimesUSA[T_VOL],2),crimesUSA[T_VOL],0))</f>
        <v>SOUTH CAROLINA</v>
      </c>
      <c r="D16" s="18" t="str">
        <f>INDEX(crimesUSA[ETAT],MATCH(LARGE(crimesUSA[T_VOL_AUTO],2),crimesUSA[T_VOL_AUTO],0))</f>
        <v>COLORADO</v>
      </c>
      <c r="E16" s="18" t="str">
        <f>INDEX(crimesUSA[ETAT],MATCH(LARGE(crimesUSA[T_MENACE],2),crimesUSA[T_MENACE],0))</f>
        <v>ALASKA</v>
      </c>
      <c r="F16" s="18" t="str">
        <f>INDEX(crimesUSA[ETAT],MATCH(LARGE(crimesUSA[T_MEURTRE],2),crimesUSA[T_MEURTRE],0))</f>
        <v>MISSISSIPPI</v>
      </c>
      <c r="G16" s="18" t="str">
        <f>INDEX(crimesUSA[ETAT],MATCH(LARGE(crimesUSA[T_VIOL],2),crimesUSA[T_VIOL],0))</f>
        <v>ARKANSAS</v>
      </c>
      <c r="H16" s="18" t="str">
        <f>INDEX(crimesUSA[ETAT],MATCH(LARGE(crimesUSA[T_AGRESSION_PHYSIQUE],2),crimesUSA[T_AGRESSION_PHYSIQUE],0))</f>
        <v>CALIFORNIA</v>
      </c>
    </row>
    <row r="17" spans="1:10">
      <c r="B17" s="4" t="str">
        <f>INDEX(crimesUSA[ETAT],MATCH(LARGE(crimesUSA[T_CAMBRIOLAGE],3),crimesUSA[T_CAMBRIOLAGE],0))</f>
        <v>MISSISSIPPI</v>
      </c>
      <c r="C17" s="18" t="str">
        <f>INDEX(crimesUSA[ETAT],MATCH(LARGE(crimesUSA[T_VOL],3),crimesUSA[T_VOL],0))</f>
        <v>HAWAI</v>
      </c>
      <c r="D17" s="18" t="str">
        <f>INDEX(crimesUSA[ETAT],MATCH(LARGE(crimesUSA[T_VOL_AUTO],3),crimesUSA[T_VOL_AUTO],0))</f>
        <v>HAWAI</v>
      </c>
      <c r="E17" s="18" t="str">
        <f>INDEX(crimesUSA[ETAT],MATCH(LARGE(crimesUSA[T_MENACE],3),crimesUSA[T_MENACE],0))</f>
        <v>TENNESSEE</v>
      </c>
      <c r="F17" s="18" t="str">
        <f>INDEX(crimesUSA[ETAT],MATCH(LARGE(crimesUSA[T_MEURTRE],3),crimesUSA[T_MEURTRE],0))</f>
        <v>ALASKA</v>
      </c>
      <c r="G17" s="18" t="str">
        <f>INDEX(crimesUSA[ETAT],MATCH(LARGE(crimesUSA[T_VIOL],3),crimesUSA[T_VIOL],0))</f>
        <v>SOUTH DAKOTA</v>
      </c>
      <c r="H17" s="18" t="str">
        <f>INDEX(crimesUSA[ETAT],MATCH(LARGE(crimesUSA[T_AGRESSION_PHYSIQUE],3),crimesUSA[T_AGRESSION_PHYSIQUE],0))</f>
        <v>ALASKA</v>
      </c>
    </row>
    <row r="20" spans="1:10">
      <c r="B20" s="14" t="s">
        <v>43</v>
      </c>
    </row>
    <row r="21" spans="1:10">
      <c r="A21" t="s">
        <v>8</v>
      </c>
      <c r="B21" s="16" t="s">
        <v>5</v>
      </c>
      <c r="C21" s="16" t="s">
        <v>39</v>
      </c>
      <c r="D21" s="16" t="s">
        <v>40</v>
      </c>
      <c r="E21" s="16" t="s">
        <v>41</v>
      </c>
      <c r="F21" s="16" t="s">
        <v>3</v>
      </c>
      <c r="G21" s="16" t="s">
        <v>4</v>
      </c>
      <c r="H21" s="16" t="s">
        <v>42</v>
      </c>
    </row>
    <row r="22" spans="1:10">
      <c r="A22" s="15" t="s">
        <v>44</v>
      </c>
      <c r="B22" s="17">
        <f>AVERAGEIF(crimesUSA[POSITION_GEO],A22,crimesUSA[T_CAMBRIOLAGE])</f>
        <v>315.65000000000003</v>
      </c>
      <c r="C22" s="17">
        <f>AVERAGEIF(crimesUSA[POSITION_GEO],A22,crimesUSA[T_VOL])</f>
        <v>1436</v>
      </c>
      <c r="D22" s="17">
        <f>AVERAGEIF(crimesUSA[POSITION_GEO],A22,crimesUSA[T_VOL_AUTO])</f>
        <v>205.22500000000002</v>
      </c>
      <c r="E22" s="17">
        <f>AVERAGEIF(crimesUSA[POSITION_GEO],A22,crimesUSA[T_MENACE])</f>
        <v>239.68333333333337</v>
      </c>
      <c r="F22" s="17">
        <f>AVERAGEIF(crimesUSA[POSITION_GEO],A22,crimesUSA[T_MEURTRE])</f>
        <v>4.1333333333333337</v>
      </c>
      <c r="G22" s="17">
        <f>AVERAGEIF(crimesUSA[POSITION_GEO],A22,crimesUSA[T_VIOL])</f>
        <v>51.341666666666669</v>
      </c>
      <c r="H22" s="17">
        <f>AVERAGEIF(crimesUSA[POSITION_GEO],A22,crimesUSA[T_AGRESSION_PHYSIQUE])</f>
        <v>54.425000000000004</v>
      </c>
    </row>
    <row r="23" spans="1:10">
      <c r="A23" s="15" t="s">
        <v>45</v>
      </c>
      <c r="B23" s="17">
        <f>AVERAGEIF(crimesUSA[POSITION_GEO],A23,crimesUSA[T_CAMBRIOLAGE])</f>
        <v>177.01111111111109</v>
      </c>
      <c r="C23" s="17">
        <f>AVERAGEIF(crimesUSA[POSITION_GEO],A23,crimesUSA[T_VOL])</f>
        <v>1078.8111111111111</v>
      </c>
      <c r="D23" s="17">
        <f>AVERAGEIF(crimesUSA[POSITION_GEO],A23,crimesUSA[T_VOL_AUTO])</f>
        <v>92.277777777777757</v>
      </c>
      <c r="E23" s="17">
        <f>AVERAGEIF(crimesUSA[POSITION_GEO],A23,crimesUSA[T_MENACE])</f>
        <v>145.64444444444445</v>
      </c>
      <c r="F23" s="17">
        <f>AVERAGEIF(crimesUSA[POSITION_GEO],A23,crimesUSA[T_MEURTRE])</f>
        <v>2.6888888888888887</v>
      </c>
      <c r="G23" s="17">
        <f>AVERAGEIF(crimesUSA[POSITION_GEO],A23,crimesUSA[T_VIOL])</f>
        <v>34.588888888888889</v>
      </c>
      <c r="H23" s="17">
        <f>AVERAGEIF(crimesUSA[POSITION_GEO],A23,crimesUSA[T_AGRESSION_PHYSIQUE])</f>
        <v>47.544444444444444</v>
      </c>
    </row>
    <row r="24" spans="1:10">
      <c r="A24" s="15" t="s">
        <v>9</v>
      </c>
      <c r="B24" s="17">
        <f>AVERAGEIF(crimesUSA[POSITION_GEO],A24,crimesUSA[T_CAMBRIOLAGE])</f>
        <v>384.90769230769234</v>
      </c>
      <c r="C24" s="17">
        <f>AVERAGEIF(crimesUSA[POSITION_GEO],A24,crimesUSA[T_VOL])</f>
        <v>1713.323076923077</v>
      </c>
      <c r="D24" s="17">
        <f>AVERAGEIF(crimesUSA[POSITION_GEO],A24,crimesUSA[T_VOL_AUTO])</f>
        <v>295.23076923076917</v>
      </c>
      <c r="E24" s="17">
        <f>AVERAGEIF(crimesUSA[POSITION_GEO],A24,crimesUSA[T_MENACE])</f>
        <v>283.03846153846155</v>
      </c>
      <c r="F24" s="17">
        <f>AVERAGEIF(crimesUSA[POSITION_GEO],A24,crimesUSA[T_MEURTRE])</f>
        <v>4.1076923076923082</v>
      </c>
      <c r="G24" s="17">
        <f>AVERAGEIF(crimesUSA[POSITION_GEO],A24,crimesUSA[T_VIOL])</f>
        <v>60.907692307692301</v>
      </c>
      <c r="H24" s="17">
        <f>AVERAGEIF(crimesUSA[POSITION_GEO],A24,crimesUSA[T_AGRESSION_PHYSIQUE])</f>
        <v>68.569230769230771</v>
      </c>
    </row>
    <row r="25" spans="1:10">
      <c r="A25" s="15" t="s">
        <v>10</v>
      </c>
      <c r="B25" s="17">
        <f>AVERAGEIF(crimesUSA[POSITION_GEO],A25,crimesUSA[T_CAMBRIOLAGE])</f>
        <v>436.25624999999997</v>
      </c>
      <c r="C25" s="17">
        <f>AVERAGEIF(crimesUSA[POSITION_GEO],A25,crimesUSA[T_VOL])</f>
        <v>1725.51875</v>
      </c>
      <c r="D25" s="17">
        <f>AVERAGEIF(crimesUSA[POSITION_GEO],A25,crimesUSA[T_VOL_AUTO])</f>
        <v>219.70625000000001</v>
      </c>
      <c r="E25" s="17">
        <f>AVERAGEIF(crimesUSA[POSITION_GEO],A25,crimesUSA[T_MENACE])</f>
        <v>291.16874999999999</v>
      </c>
      <c r="F25" s="17">
        <f>AVERAGEIF(crimesUSA[POSITION_GEO],A25,crimesUSA[T_MEURTRE])</f>
        <v>6.9812500000000011</v>
      </c>
      <c r="G25" s="17">
        <f>AVERAGEIF(crimesUSA[POSITION_GEO],A25,crimesUSA[T_VIOL])</f>
        <v>41.400000000000006</v>
      </c>
      <c r="H25" s="17">
        <f>AVERAGEIF(crimesUSA[POSITION_GEO],A25,crimesUSA[T_AGRESSION_PHYSIQUE])</f>
        <v>72.3</v>
      </c>
    </row>
    <row r="26" spans="1:10">
      <c r="A26" s="6" t="s">
        <v>21</v>
      </c>
      <c r="B26" s="17">
        <f>AVERAGE(B22:B25)</f>
        <v>328.45626335470087</v>
      </c>
      <c r="C26" s="17">
        <f t="shared" ref="C26:H26" si="0">AVERAGE(C22:C25)</f>
        <v>1488.413234508547</v>
      </c>
      <c r="D26" s="17">
        <f t="shared" si="0"/>
        <v>203.10994925213674</v>
      </c>
      <c r="E26" s="17">
        <f t="shared" si="0"/>
        <v>239.88374732905982</v>
      </c>
      <c r="F26" s="17">
        <f t="shared" si="0"/>
        <v>4.4777911324786324</v>
      </c>
      <c r="G26" s="17">
        <f t="shared" si="0"/>
        <v>47.059561965811966</v>
      </c>
      <c r="H26" s="17">
        <f t="shared" si="0"/>
        <v>60.709668803418808</v>
      </c>
    </row>
    <row r="32" spans="1:10">
      <c r="A32" s="3" t="s">
        <v>46</v>
      </c>
      <c r="C32" s="20">
        <f>SQRT(SUMXMY2('crimesUSA'!E7:G7, 'crimesUSA'!E8:G8) + SUMXMY2('crimesUSA'!I7:L7, 'crimesUSA'!I8:L8))</f>
        <v>839.639476203924</v>
      </c>
      <c r="E32" s="3" t="s">
        <v>11</v>
      </c>
      <c r="F32" s="27" t="s">
        <v>195</v>
      </c>
      <c r="G32" s="27"/>
      <c r="H32" s="27"/>
      <c r="I32" s="27"/>
      <c r="J32" s="28"/>
    </row>
    <row r="33" spans="1:10">
      <c r="A33" s="3"/>
      <c r="F33" s="27" t="s">
        <v>196</v>
      </c>
      <c r="G33" s="27"/>
      <c r="H33" s="27"/>
      <c r="I33" s="27"/>
      <c r="J33" s="28"/>
    </row>
    <row r="34" spans="1:10">
      <c r="A34" s="3" t="s">
        <v>46</v>
      </c>
      <c r="C34" s="5">
        <f>SQRT(SUMXMY2('crimesUSA'!E7:G7,'crimesUSA'!E8:G8))</f>
        <v>826.35243086712103</v>
      </c>
      <c r="E34" s="3" t="s">
        <v>47</v>
      </c>
      <c r="F34" s="26"/>
      <c r="G34" s="26"/>
      <c r="H34" s="26"/>
      <c r="I34" s="26"/>
      <c r="J34" s="25"/>
    </row>
    <row r="38" spans="1:10">
      <c r="A38" s="1" t="s">
        <v>12</v>
      </c>
    </row>
    <row r="41" spans="1:10">
      <c r="B41" s="6" t="s">
        <v>5</v>
      </c>
      <c r="C41" s="6" t="s">
        <v>39</v>
      </c>
      <c r="D41" s="6" t="s">
        <v>40</v>
      </c>
      <c r="E41" s="6" t="s">
        <v>41</v>
      </c>
      <c r="F41" s="6" t="s">
        <v>3</v>
      </c>
      <c r="G41" s="6" t="s">
        <v>4</v>
      </c>
      <c r="H41" s="6" t="s">
        <v>42</v>
      </c>
    </row>
    <row r="42" spans="1:10">
      <c r="A42" s="6" t="s">
        <v>5</v>
      </c>
      <c r="B42" s="12">
        <f>CORREL(crimesUSA[T_CAMBRIOLAGE],crimesUSA[T_CAMBRIOLAGE])</f>
        <v>0.99999999999999978</v>
      </c>
      <c r="C42" s="12">
        <f>CORREL(crimesUSA[T_VOL],crimesUSA[T_CAMBRIOLAGE])</f>
        <v>0.73842458429983548</v>
      </c>
      <c r="D42" s="12">
        <f>CORREL(crimesUSA[T_VOL_AUTO],crimesUSA[T_CAMBRIOLAGE])</f>
        <v>0.70241112023696417</v>
      </c>
      <c r="E42" s="12">
        <f>CORREL(crimesUSA[T_MENACE],crimesUSA[T_CAMBRIOLAGE])</f>
        <v>0.67866368993765169</v>
      </c>
      <c r="F42" s="12">
        <f>CORREL(crimesUSA[T_MEURTRE],crimesUSA[T_CAMBRIOLAGE])</f>
        <v>0.7051967928798919</v>
      </c>
      <c r="G42" s="12">
        <f>CORREL(crimesUSA[T_VIOL],crimesUSA[T_CAMBRIOLAGE])</f>
        <v>0.30218417962756045</v>
      </c>
      <c r="H42" s="12">
        <f>CORREL(crimesUSA[T_AGRESSION_PHYSIQUE],crimesUSA[T_CAMBRIOLAGE])</f>
        <v>0.38768638591907695</v>
      </c>
    </row>
    <row r="43" spans="1:10">
      <c r="A43" s="6" t="s">
        <v>39</v>
      </c>
      <c r="B43" s="12">
        <f>CORREL(crimesUSA[T_CAMBRIOLAGE],crimesUSA[T_VOL])</f>
        <v>0.73842458429983548</v>
      </c>
      <c r="C43" s="12">
        <f>CORREL(crimesUSA[T_VOL],crimesUSA[T_VOL])</f>
        <v>1</v>
      </c>
      <c r="D43" s="12">
        <f>CORREL(crimesUSA[T_VOL_AUTO],crimesUSA[T_VOL])</f>
        <v>0.77842450884475767</v>
      </c>
      <c r="E43" s="12">
        <f>CORREL(crimesUSA[T_MENACE],crimesUSA[T_VOL])</f>
        <v>0.61449068818191366</v>
      </c>
      <c r="F43" s="12">
        <f>CORREL(crimesUSA[T_MEURTRE],crimesUSA[T_VOL])</f>
        <v>0.58813154102099396</v>
      </c>
      <c r="G43" s="12">
        <f>CORREL(crimesUSA[T_VIOL],crimesUSA[T_VOL])</f>
        <v>0.34195389919578639</v>
      </c>
      <c r="H43" s="12">
        <f>CORREL(crimesUSA[T_AGRESSION_PHYSIQUE],crimesUSA[T_VOL])</f>
        <v>0.4621356192691754</v>
      </c>
    </row>
    <row r="44" spans="1:10">
      <c r="A44" s="6" t="s">
        <v>40</v>
      </c>
      <c r="B44" s="12">
        <f>CORREL(crimesUSA[T_CAMBRIOLAGE],crimesUSA[T_VOL_AUTO])</f>
        <v>0.70241112023696417</v>
      </c>
      <c r="C44" s="12">
        <f>CORREL(crimesUSA[T_VOL],crimesUSA[T_VOL_AUTO])</f>
        <v>0.77842450884475767</v>
      </c>
      <c r="D44" s="12">
        <f>CORREL(crimesUSA[T_VOL_AUTO],crimesUSA[T_VOL_AUTO])</f>
        <v>1.0000000000000002</v>
      </c>
      <c r="E44" s="12">
        <f>CORREL(crimesUSA[T_MENACE],crimesUSA[T_VOL_AUTO])</f>
        <v>0.57128580477252933</v>
      </c>
      <c r="F44" s="12">
        <f>CORREL(crimesUSA[T_MEURTRE],crimesUSA[T_VOL_AUTO])</f>
        <v>0.38844494873145291</v>
      </c>
      <c r="G44" s="12">
        <f>CORREL(crimesUSA[T_VIOL],crimesUSA[T_VOL_AUTO])</f>
        <v>0.44153970391643532</v>
      </c>
      <c r="H44" s="12">
        <f>CORREL(crimesUSA[T_AGRESSION_PHYSIQUE],crimesUSA[T_VOL])</f>
        <v>0.4621356192691754</v>
      </c>
    </row>
    <row r="45" spans="1:10">
      <c r="A45" s="6" t="s">
        <v>41</v>
      </c>
      <c r="B45" s="12">
        <f>CORREL(crimesUSA[T_CAMBRIOLAGE],crimesUSA[T_MENACE])</f>
        <v>0.67866368993765169</v>
      </c>
      <c r="C45" s="12">
        <f>CORREL(crimesUSA[T_VOL],crimesUSA[T_MENACE])</f>
        <v>0.61449068818191366</v>
      </c>
      <c r="D45" s="12">
        <f>CORREL(crimesUSA[T_VOL_AUTO],crimesUSA[T_MENACE])</f>
        <v>0.57128580477252933</v>
      </c>
      <c r="E45" s="12">
        <f>CORREL(crimesUSA[T_MENACE],crimesUSA[T_MENACE])</f>
        <v>1</v>
      </c>
      <c r="F45" s="12">
        <f>CORREL(crimesUSA[T_MEURTRE],crimesUSA[T_MENACE])</f>
        <v>0.65952989879499835</v>
      </c>
      <c r="G45" s="12">
        <f>CORREL(crimesUSA[T_VIOL],crimesUSA[T_MENACE])</f>
        <v>0.54649100041538301</v>
      </c>
      <c r="H45" s="12">
        <f>CORREL(crimesUSA[T_AGRESSION_PHYSIQUE],crimesUSA[T_MENACE])</f>
        <v>0.49414001697792714</v>
      </c>
    </row>
    <row r="46" spans="1:10">
      <c r="A46" s="6" t="s">
        <v>3</v>
      </c>
      <c r="B46" s="12">
        <f>CORREL(crimesUSA[T_CAMBRIOLAGE],crimesUSA[T_MEURTRE])</f>
        <v>0.7051967928798919</v>
      </c>
      <c r="C46" s="12">
        <f>CORREL(crimesUSA[T_VOL],crimesUSA[T_MEURTRE])</f>
        <v>0.58813154102099396</v>
      </c>
      <c r="D46" s="12">
        <f>CORREL(crimesUSA[T_VOL_AUTO],crimesUSA[T_MEURTRE])</f>
        <v>0.38844494873145291</v>
      </c>
      <c r="E46" s="12">
        <f>CORREL(crimesUSA[T_MENACE],crimesUSA[T_MEURTRE])</f>
        <v>0.65952989879499835</v>
      </c>
      <c r="F46" s="12">
        <f>CORREL(crimesUSA[T_MEURTRE],crimesUSA[T_MEURTRE])</f>
        <v>1.0000000000000002</v>
      </c>
      <c r="G46" s="12">
        <f>CORREL(crimesUSA[T_VIOL],crimesUSA[T_MEURTRE])</f>
        <v>0.16790988663229353</v>
      </c>
      <c r="H46" s="12">
        <f>CORREL(crimesUSA[T_AGRESSION_PHYSIQUE],crimesUSA[T_MEURTRE])</f>
        <v>0.58768936400092353</v>
      </c>
    </row>
    <row r="47" spans="1:10">
      <c r="A47" s="6" t="s">
        <v>4</v>
      </c>
      <c r="B47" s="12">
        <f>CORREL(crimesUSA[T_CAMBRIOLAGE],crimesUSA[T_VIOL])</f>
        <v>0.30218417962756045</v>
      </c>
      <c r="C47" s="12">
        <f>CORREL(crimesUSA[T_VOL],crimesUSA[T_VIOL])</f>
        <v>0.34195389919578639</v>
      </c>
      <c r="D47" s="12">
        <f>CORREL(crimesUSA[T_VOL_AUTO],crimesUSA[TOTAL_VIOL])</f>
        <v>0.15672864291677205</v>
      </c>
      <c r="E47" s="12">
        <f>CORREL(crimesUSA[T_MENACE],crimesUSA[T_VIOL])</f>
        <v>0.54649100041538301</v>
      </c>
      <c r="F47" s="12">
        <f>CORREL(crimesUSA[T_MEURTRE],crimesUSA[T_VIOL])</f>
        <v>0.16790988663229353</v>
      </c>
      <c r="G47" s="12">
        <f>CORREL(crimesUSA[T_VIOL],crimesUSA[T_VIOL])</f>
        <v>1.0000000000000002</v>
      </c>
      <c r="H47" s="12">
        <f>CORREL(crimesUSA[T_AGRESSION_PHYSIQUE],crimesUSA[T_VIOL])</f>
        <v>7.1607330823873744E-2</v>
      </c>
    </row>
    <row r="48" spans="1:10">
      <c r="A48" s="6" t="s">
        <v>42</v>
      </c>
      <c r="B48" s="12">
        <f>CORREL(crimesUSA[T_CAMBRIOLAGE],crimesUSA[T_AGRESSION_PHYSIQUE])</f>
        <v>0.38768638591907695</v>
      </c>
      <c r="C48" s="12">
        <f>CORREL(crimesUSA[T_VOL],crimesUSA[T_AGRESSION_PHYSIQUE])</f>
        <v>0.4621356192691754</v>
      </c>
      <c r="D48" s="12">
        <f>CORREL(crimesUSA[T_VOL_AUTO],crimesUSA[T_AGRESSION_PHYSIQUE])</f>
        <v>0.48333232750728877</v>
      </c>
      <c r="E48" s="12">
        <f>CORREL(crimesUSA[T_MENACE],crimesUSA[T_AGRESSION_PHYSIQUE])</f>
        <v>0.49414001697792714</v>
      </c>
      <c r="F48" s="12">
        <f>CORREL(crimesUSA[T_MEURTRE],crimesUSA[T_AGRESSION_PHYSIQUE])</f>
        <v>0.58768936400092353</v>
      </c>
      <c r="G48" s="12">
        <f>CORREL(crimesUSA[T_VIOL],crimesUSA[T_AGRESSION_PHYSIQUE])</f>
        <v>7.1607330823873744E-2</v>
      </c>
      <c r="H48" s="12">
        <f>CORREL(crimesUSA[T_AGRESSION_PHYSIQUE],crimesUSA[T_AGRESSION_PHYSIQUE])</f>
        <v>0.99999999999999978</v>
      </c>
    </row>
    <row r="50" spans="1:8">
      <c r="A50" s="1" t="s">
        <v>13</v>
      </c>
    </row>
    <row r="52" spans="1:8">
      <c r="B52" s="6" t="s">
        <v>5</v>
      </c>
      <c r="C52" s="6" t="s">
        <v>39</v>
      </c>
      <c r="D52" s="6" t="s">
        <v>40</v>
      </c>
      <c r="E52" s="6" t="s">
        <v>41</v>
      </c>
      <c r="F52" s="6" t="s">
        <v>3</v>
      </c>
      <c r="G52" s="6" t="s">
        <v>4</v>
      </c>
      <c r="H52" s="6" t="s">
        <v>42</v>
      </c>
    </row>
    <row r="53" spans="1:8">
      <c r="A53" s="6" t="s">
        <v>5</v>
      </c>
      <c r="B53" s="12">
        <f>_xlfn.COVARIANCE.P(crimesUSA[T_CAMBRIOLAGE],crimesUSA[T_CAMBRIOLAGE])</f>
        <v>19868.419583999999</v>
      </c>
      <c r="C53" s="12">
        <f>_xlfn.COVARIANCE.P(crimesUSA[T_VOL],crimesUSA[T_CAMBRIOLAGE])</f>
        <v>37818.365623999991</v>
      </c>
      <c r="D53" s="12">
        <f>_xlfn.COVARIANCE.P(crimesUSA[T_VOL_AUTO],crimesUSA[T_CAMBRIOLAGE])</f>
        <v>9503.3849199999986</v>
      </c>
      <c r="E53" s="12">
        <f>_xlfn.COVARIANCE.P(crimesUSA[T_MENACE],crimesUSA[T_CAMBRIOLAGE])</f>
        <v>11377.319216000002</v>
      </c>
      <c r="F53" s="12">
        <f>_xlfn.COVARIANCE.P(crimesUSA[T_MEURTRE],crimesUSA[T_CAMBRIOLAGE])</f>
        <v>259.30051199999997</v>
      </c>
      <c r="G53" s="12">
        <f>_xlfn.COVARIANCE.P(crimesUSA[T_VIOL],crimesUSA[T_CAMBRIOLAGE])</f>
        <v>836.39192800000001</v>
      </c>
      <c r="H53" s="12">
        <f>_xlfn.COVARIANCE.P(crimesUSA[T_AGRESSION_PHYSIQUE],crimesUSA[T_CAMBRIOLAGE])</f>
        <v>1748.9341359999996</v>
      </c>
    </row>
    <row r="54" spans="1:8">
      <c r="A54" s="6" t="s">
        <v>39</v>
      </c>
      <c r="B54" s="12">
        <f>_xlfn.COVARIANCE.P(crimesUSA[T_CAMBRIOLAGE],crimesUSA[T_VOL])</f>
        <v>37818.365623999991</v>
      </c>
      <c r="C54" s="12">
        <f>_xlfn.COVARIANCE.P(crimesUSA[T_VOL],crimesUSA[T_VOL])</f>
        <v>132017.01086399995</v>
      </c>
      <c r="D54" s="12">
        <f>_xlfn.COVARIANCE.P(crimesUSA[T_VOL_AUTO],crimesUSA[T_VOL])</f>
        <v>27147.930519999998</v>
      </c>
      <c r="E54" s="12">
        <f>_xlfn.COVARIANCE.P(crimesUSA[T_MENACE],crimesUSA[T_VOL])</f>
        <v>26554.242776000006</v>
      </c>
      <c r="F54" s="12">
        <f>_xlfn.COVARIANCE.P(crimesUSA[T_MEURTRE],crimesUSA[T_VOL])</f>
        <v>557.44343199999992</v>
      </c>
      <c r="G54" s="12">
        <f>_xlfn.COVARIANCE.P(crimesUSA[T_VIOL],crimesUSA[T_VOL])</f>
        <v>2439.7142079999999</v>
      </c>
      <c r="H54" s="12">
        <f>_xlfn.COVARIANCE.P(crimesUSA[T_AGRESSION_PHYSIQUE],crimesUSA[T_VOL])</f>
        <v>5373.9748960000006</v>
      </c>
    </row>
    <row r="55" spans="1:8">
      <c r="A55" s="6" t="s">
        <v>40</v>
      </c>
      <c r="B55" s="12">
        <f>_xlfn.COVARIANCE.P(crimesUSA[T_CAMBRIOLAGE],crimesUSA[T_VOL_AUTO])</f>
        <v>9503.3849199999986</v>
      </c>
      <c r="C55" s="12">
        <f>_xlfn.COVARIANCE.P(crimesUSA[T_VOL],crimesUSA[T_VOL_AUTO])</f>
        <v>27147.930519999998</v>
      </c>
      <c r="D55" s="12">
        <f>_xlfn.COVARIANCE.P(crimesUSA[T_VOL_AUTO],crimesUSA[T_VOL_AUTO])</f>
        <v>9213.2012999999988</v>
      </c>
      <c r="E55" s="12">
        <f>_xlfn.COVARIANCE.P(crimesUSA[T_MENACE],crimesUSA[T_VOL_AUTO])</f>
        <v>6521.7234799999987</v>
      </c>
      <c r="F55" s="12">
        <f>_xlfn.COVARIANCE.P(crimesUSA[T_MEURTRE],crimesUSA[T_VOL_AUTO])</f>
        <v>97.262660000000039</v>
      </c>
      <c r="G55" s="12">
        <f>_xlfn.COVARIANCE.P(crimesUSA[T_VIOL],crimesUSA[T_VOL_AUTO])</f>
        <v>832.20723999999984</v>
      </c>
      <c r="H55" s="12">
        <f>_xlfn.COVARIANCE.P(crimesUSA[T_AGRESSION_PHYSIQUE],crimesUSA[T_VOL])</f>
        <v>5373.9748960000006</v>
      </c>
    </row>
    <row r="56" spans="1:8">
      <c r="A56" s="6" t="s">
        <v>41</v>
      </c>
      <c r="B56" s="12">
        <f>_xlfn.COVARIANCE.P(crimesUSA[T_CAMBRIOLAGE],crimesUSA[T_MENACE])</f>
        <v>11377.319216000002</v>
      </c>
      <c r="C56" s="12">
        <f>_xlfn.COVARIANCE.P(crimesUSA[T_VOL],crimesUSA[T_MENACE])</f>
        <v>26554.242776000006</v>
      </c>
      <c r="D56" s="12">
        <f>_xlfn.COVARIANCE.P(crimesUSA[T_VOL_AUTO],crimesUSA[T_MENACE])</f>
        <v>6521.7234799999987</v>
      </c>
      <c r="E56" s="12">
        <f>_xlfn.COVARIANCE.P(crimesUSA[T_MENACE],crimesUSA[T_MENACE])</f>
        <v>14145.142784000001</v>
      </c>
      <c r="F56" s="12">
        <f>_xlfn.COVARIANCE.P(crimesUSA[T_MEURTRE],crimesUSA[T_MENACE])</f>
        <v>204.62068799999997</v>
      </c>
      <c r="G56" s="12">
        <f>_xlfn.COVARIANCE.P(crimesUSA[T_VIOL],crimesUSA[T_MENACE])</f>
        <v>1276.2716719999999</v>
      </c>
      <c r="H56" s="12">
        <f>_xlfn.COVARIANCE.P(crimesUSA[T_AGRESSION_PHYSIQUE],crimesUSA[T_MENACE])</f>
        <v>1880.8966640000006</v>
      </c>
    </row>
    <row r="57" spans="1:8">
      <c r="A57" s="6" t="s">
        <v>3</v>
      </c>
      <c r="B57" s="12">
        <f>_xlfn.COVARIANCE.P(crimesUSA[T_CAMBRIOLAGE],crimesUSA[T_MEURTRE])</f>
        <v>259.30051199999997</v>
      </c>
      <c r="C57" s="12">
        <f>_xlfn.COVARIANCE.P(crimesUSA[T_VOL],crimesUSA[T_MEURTRE])</f>
        <v>557.44343199999992</v>
      </c>
      <c r="D57" s="12">
        <f>_xlfn.COVARIANCE.P(crimesUSA[T_VOL_AUTO],crimesUSA[T_MEURTRE])</f>
        <v>97.262660000000039</v>
      </c>
      <c r="E57" s="12">
        <f>_xlfn.COVARIANCE.P(crimesUSA[T_MENACE],crimesUSA[T_MEURTRE])</f>
        <v>204.62068799999997</v>
      </c>
      <c r="F57" s="12">
        <f>_xlfn.COVARIANCE.P(crimesUSA[T_MEURTRE],crimesUSA[T_MEURTRE])</f>
        <v>6.8049159999999969</v>
      </c>
      <c r="G57" s="12">
        <f>_xlfn.COVARIANCE.P(crimesUSA[T_VIOL],crimesUSA[T_MEURTRE])</f>
        <v>8.6009040000000017</v>
      </c>
      <c r="H57" s="12">
        <f>_xlfn.COVARIANCE.P(crimesUSA[T_AGRESSION_PHYSIQUE],crimesUSA[T_MEURTRE])</f>
        <v>49.064848000000005</v>
      </c>
    </row>
    <row r="58" spans="1:8">
      <c r="A58" s="6" t="s">
        <v>4</v>
      </c>
      <c r="B58" s="12">
        <f>_xlfn.COVARIANCE.P(crimesUSA[T_CAMBRIOLAGE],crimesUSA[T_VIOL])</f>
        <v>836.39192800000001</v>
      </c>
      <c r="C58" s="12">
        <f>_xlfn.COVARIANCE.P(crimesUSA[T_VOL],crimesUSA[T_VIOL])</f>
        <v>2439.7142079999999</v>
      </c>
      <c r="D58" s="12">
        <f>_xlfn.COVARIANCE.P(crimesUSA[T_VOL_AUTO],crimesUSA[TOTAL_VIOL])</f>
        <v>46084.202000000005</v>
      </c>
      <c r="E58" s="12">
        <f>_xlfn.COVARIANCE.P(crimesUSA[T_MENACE],crimesUSA[T_VIOL])</f>
        <v>1276.2716719999999</v>
      </c>
      <c r="F58" s="12">
        <f>_xlfn.COVARIANCE.P(crimesUSA[T_MEURTRE],crimesUSA[T_VIOL])</f>
        <v>8.6009040000000017</v>
      </c>
      <c r="G58" s="12">
        <f>_xlfn.COVARIANCE.P(crimesUSA[T_VIOL],crimesUSA[T_VIOL])</f>
        <v>385.57857599999988</v>
      </c>
      <c r="H58" s="12">
        <f>_xlfn.COVARIANCE.P(crimesUSA[T_AGRESSION_PHYSIQUE],crimesUSA[T_VIOL])</f>
        <v>45.001312000000013</v>
      </c>
    </row>
    <row r="59" spans="1:8">
      <c r="A59" s="6" t="s">
        <v>42</v>
      </c>
      <c r="B59" s="12">
        <f>_xlfn.COVARIANCE.P(crimesUSA[T_CAMBRIOLAGE],crimesUSA[T_AGRESSION_PHYSIQUE])</f>
        <v>1748.9341359999996</v>
      </c>
      <c r="C59" s="12">
        <f>_xlfn.COVARIANCE.P(crimesUSA[T_VOL],crimesUSA[T_AGRESSION_PHYSIQUE])</f>
        <v>5373.9748960000006</v>
      </c>
      <c r="D59" s="12">
        <f>_xlfn.COVARIANCE.P(crimesUSA[T_VOL_AUTO],crimesUSA[T_AGRESSION_PHYSIQUE])</f>
        <v>1484.7808800000003</v>
      </c>
      <c r="E59" s="12">
        <f>_xlfn.COVARIANCE.P(crimesUSA[T_MENACE],crimesUSA[T_AGRESSION_PHYSIQUE])</f>
        <v>1880.8966640000006</v>
      </c>
      <c r="F59" s="12">
        <f>_xlfn.COVARIANCE.P(crimesUSA[T_MEURTRE],crimesUSA[T_AGRESSION_PHYSIQUE])</f>
        <v>49.064848000000005</v>
      </c>
      <c r="G59" s="12">
        <f>_xlfn.COVARIANCE.P(crimesUSA[T_VIOL],crimesUSA[T_AGRESSION_PHYSIQUE])</f>
        <v>45.001312000000013</v>
      </c>
      <c r="H59" s="12">
        <f>_xlfn.COVARIANCE.P(crimesUSA[T_AGRESSION_PHYSIQUE],crimesUSA[T_AGRESSION_PHYSIQUE])</f>
        <v>1024.2889439999997</v>
      </c>
    </row>
    <row r="61" spans="1:8">
      <c r="A61" s="1" t="s">
        <v>14</v>
      </c>
      <c r="D61" s="20">
        <f>B53+C54+D55+E56+F57+G58+H59</f>
        <v>176660.44696799992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DFEC-242D-4D69-A7EA-A8399A18B558}">
  <dimension ref="A1:H53"/>
  <sheetViews>
    <sheetView workbookViewId="0">
      <selection activeCell="H4" sqref="H4"/>
    </sheetView>
  </sheetViews>
  <sheetFormatPr baseColWidth="10" defaultRowHeight="14.4"/>
  <cols>
    <col min="1" max="1" width="16.6640625" customWidth="1"/>
    <col min="2" max="2" width="17.6640625" customWidth="1"/>
    <col min="4" max="4" width="16.88671875" customWidth="1"/>
    <col min="5" max="5" width="15.5546875" customWidth="1"/>
    <col min="7" max="7" width="12.6640625" customWidth="1"/>
    <col min="8" max="8" width="25.33203125" customWidth="1"/>
  </cols>
  <sheetData>
    <row r="1" spans="1:8">
      <c r="A1" t="s">
        <v>17</v>
      </c>
    </row>
    <row r="3" spans="1:8">
      <c r="A3" t="s">
        <v>98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</row>
    <row r="4" spans="1:8">
      <c r="A4" t="s">
        <v>48</v>
      </c>
      <c r="B4">
        <f>('crimesUSA'!E2-'Données brutes'!K$13) / 'Données brutes'!K$15</f>
        <v>0.99183158866588572</v>
      </c>
      <c r="C4">
        <f>('crimesUSA'!F2-'Données brutes'!L$13) / 'Données brutes'!L$15</f>
        <v>1.4574279836209016</v>
      </c>
      <c r="D4">
        <f>('crimesUSA'!G2-'Données brutes'!M$13) / 'Données brutes'!M$15</f>
        <v>1.5082498621639004</v>
      </c>
      <c r="E4">
        <f>('crimesUSA'!I2-'Données brutes'!N$13) / 'Données brutes'!N$15</f>
        <v>2.904954642892505</v>
      </c>
      <c r="F4">
        <f>('crimesUSA'!J2-'Données brutes'!O$13) / 'Données brutes'!O$15</f>
        <v>1.7718157456582191</v>
      </c>
      <c r="G4">
        <f>('crimesUSA'!K2-'Données brutes'!P$13) / 'Données brutes'!P$15</f>
        <v>5.1470362166900703</v>
      </c>
      <c r="H4">
        <f>('crimesUSA'!L2-'Données brutes'!Q$13) / 'Données brutes'!Q$15</f>
        <v>1.5721532069357431</v>
      </c>
    </row>
    <row r="5" spans="1:8">
      <c r="A5" t="s">
        <v>49</v>
      </c>
      <c r="B5">
        <f>('crimesUSA'!E3-'Données brutes'!K$13) / 'Données brutes'!K$15</f>
        <v>1.3096626605395918</v>
      </c>
      <c r="C5">
        <f>('crimesUSA'!F3-'Données brutes'!L$13) / 'Données brutes'!L$15</f>
        <v>0.96230143275185165</v>
      </c>
      <c r="D5">
        <f>('crimesUSA'!G3-'Données brutes'!M$13) / 'Données brutes'!M$15</f>
        <v>0.45392309521642055</v>
      </c>
      <c r="E5">
        <f>('crimesUSA'!I3-'Données brutes'!N$13) / 'Données brutes'!N$15</f>
        <v>1.0972195367787192</v>
      </c>
      <c r="F5">
        <f>('crimesUSA'!J3-'Données brutes'!O$13) / 'Données brutes'!O$15</f>
        <v>0.96679344667893297</v>
      </c>
      <c r="G5">
        <f>('crimesUSA'!K3-'Données brutes'!P$13) / 'Données brutes'!P$15</f>
        <v>-0.27663257142775632</v>
      </c>
      <c r="H5">
        <f>('crimesUSA'!L3-'Données brutes'!Q$13) / 'Données brutes'!Q$15</f>
        <v>0.55667146702375403</v>
      </c>
    </row>
    <row r="6" spans="1:8">
      <c r="A6" t="s">
        <v>50</v>
      </c>
      <c r="B6">
        <f>('crimesUSA'!E4-'Données brutes'!K$13) / 'Données brutes'!K$15</f>
        <v>1.7899564901344565</v>
      </c>
      <c r="C6">
        <f>('crimesUSA'!F4-'Données brutes'!L$13) / 'Données brutes'!L$15</f>
        <v>1.3104587906447631</v>
      </c>
      <c r="D6">
        <f>('crimesUSA'!G4-'Données brutes'!M$13) / 'Données brutes'!M$15</f>
        <v>0.3434896591527517</v>
      </c>
      <c r="E6">
        <f>('crimesUSA'!I4-'Données brutes'!N$13) / 'Données brutes'!N$15</f>
        <v>1.6588786302131422</v>
      </c>
      <c r="F6">
        <f>('crimesUSA'!J4-'Données brutes'!O$13) / 'Données brutes'!O$15</f>
        <v>1.2351342130053615</v>
      </c>
      <c r="G6">
        <f>('crimesUSA'!K4-'Données brutes'!P$13) / 'Données brutes'!P$15</f>
        <v>1.5057937908644874</v>
      </c>
      <c r="H6">
        <f>('crimesUSA'!L4-'Données brutes'!Q$13) / 'Données brutes'!Q$15</f>
        <v>-0.34320158249825483</v>
      </c>
    </row>
    <row r="7" spans="1:8">
      <c r="A7" t="s">
        <v>51</v>
      </c>
      <c r="B7">
        <f>('crimesUSA'!E5-'Données brutes'!K$13) / 'Données brutes'!K$15</f>
        <v>0.33346722549892233</v>
      </c>
      <c r="C7">
        <f>('crimesUSA'!F5-'Données brutes'!L$13) / 'Données brutes'!L$15</f>
        <v>0.71680233137598093</v>
      </c>
      <c r="D7">
        <f>('crimesUSA'!G5-'Données brutes'!M$13) / 'Données brutes'!M$15</f>
        <v>0.37995352955113293</v>
      </c>
      <c r="E7">
        <f>('crimesUSA'!I5-'Données brutes'!N$13) / 'Données brutes'!N$15</f>
        <v>0.51622188174400918</v>
      </c>
      <c r="F7">
        <f>('crimesUSA'!J5-'Données brutes'!O$13) / 'Données brutes'!O$15</f>
        <v>8.5102357320667524E-2</v>
      </c>
      <c r="G7">
        <f>('crimesUSA'!K5-'Données brutes'!P$13) / 'Données brutes'!P$15</f>
        <v>0.13587181527416262</v>
      </c>
      <c r="H7">
        <f>('crimesUSA'!L5-'Données brutes'!Q$13) / 'Données brutes'!Q$15</f>
        <v>0.79726252540290188</v>
      </c>
    </row>
    <row r="8" spans="1:8">
      <c r="A8" t="s">
        <v>52</v>
      </c>
      <c r="B8">
        <f>('crimesUSA'!E6-'Données brutes'!K$13) / 'Données brutes'!K$15</f>
        <v>0.27529278823632436</v>
      </c>
      <c r="C8">
        <f>('crimesUSA'!F6-'Données brutes'!L$13) / 'Données brutes'!L$15</f>
        <v>0.13718225570604251</v>
      </c>
      <c r="D8">
        <f>('crimesUSA'!G6-'Données brutes'!M$13) / 'Données brutes'!M$15</f>
        <v>1.5197099357176775</v>
      </c>
      <c r="E8">
        <f>('crimesUSA'!I6-'Données brutes'!N$13) / 'Données brutes'!N$15</f>
        <v>0.13954033405146257</v>
      </c>
      <c r="F8">
        <f>('crimesUSA'!J6-'Données brutes'!O$13) / 'Données brutes'!O$15</f>
        <v>-0.18323840900576116</v>
      </c>
      <c r="G8">
        <f>('crimesUSA'!K6-'Données brutes'!P$13) / 'Données brutes'!P$15</f>
        <v>-0.51598696864985771</v>
      </c>
      <c r="H8">
        <f>('crimesUSA'!L6-'Données brutes'!Q$13) / 'Données brutes'!Q$15</f>
        <v>2.1814422508829363</v>
      </c>
    </row>
    <row r="9" spans="1:8">
      <c r="A9" t="s">
        <v>53</v>
      </c>
      <c r="B9">
        <f>('crimesUSA'!E7-'Données brutes'!K$13) / 'Données brutes'!K$15</f>
        <v>7.8322656997452059E-3</v>
      </c>
      <c r="C9">
        <f>('crimesUSA'!F7-'Données brutes'!L$13) / 'Données brutes'!L$15</f>
        <v>0.88578938097775739</v>
      </c>
      <c r="D9">
        <f>('crimesUSA'!G7-'Données brutes'!M$13) / 'Données brutes'!M$15</f>
        <v>1.7822498025860223</v>
      </c>
      <c r="E9">
        <f>('crimesUSA'!I7-'Données brutes'!N$13) / 'Données brutes'!N$15</f>
        <v>-3.5347527377220092E-2</v>
      </c>
      <c r="F9">
        <f>('crimesUSA'!J7-'Données brutes'!O$13) / 'Données brutes'!O$15</f>
        <v>-0.37491038495321016</v>
      </c>
      <c r="G9">
        <f>('crimesUSA'!K7-'Données brutes'!P$13) / 'Données brutes'!P$15</f>
        <v>0.9965291159238463</v>
      </c>
      <c r="H9">
        <f>('crimesUSA'!L7-'Données brutes'!Q$13) / 'Données brutes'!Q$15</f>
        <v>3.1745521469248812E-2</v>
      </c>
    </row>
    <row r="10" spans="1:8">
      <c r="A10" t="s">
        <v>54</v>
      </c>
      <c r="B10">
        <f>('crimesUSA'!E8-'Données brutes'!K$13) / 'Données brutes'!K$15</f>
        <v>-1.1819059207560709</v>
      </c>
      <c r="C10">
        <f>('crimesUSA'!F8-'Données brutes'!L$13) / 'Données brutes'!L$15</f>
        <v>-1.259850747190731</v>
      </c>
      <c r="D10">
        <f>('crimesUSA'!G8-'Données brutes'!M$13) / 'Données brutes'!M$15</f>
        <v>-0.47538468750803803</v>
      </c>
      <c r="E10">
        <f>('crimesUSA'!I8-'Données brutes'!N$13) / 'Données brutes'!N$15</f>
        <v>-1.2234078552557224</v>
      </c>
      <c r="F10">
        <f>('crimesUSA'!J8-'Données brutes'!O$13) / 'Données brutes'!O$15</f>
        <v>-0.71991994165861839</v>
      </c>
      <c r="G10">
        <f>('crimesUSA'!K8-'Données brutes'!P$13) / 'Données brutes'!P$15</f>
        <v>-1.3257178018054769</v>
      </c>
      <c r="H10">
        <f>('crimesUSA'!L8-'Données brutes'!Q$13) / 'Données brutes'!Q$15</f>
        <v>-0.26508760250502494</v>
      </c>
    </row>
    <row r="11" spans="1:8">
      <c r="A11" t="s">
        <v>55</v>
      </c>
      <c r="B11">
        <f>('crimesUSA'!E9-'Données brutes'!K$13) / 'Données brutes'!K$15</f>
        <v>-0.30148547389162955</v>
      </c>
      <c r="C11">
        <f>('crimesUSA'!F9-'Données brutes'!L$13) / 'Données brutes'!L$15</f>
        <v>0.67772063586547215</v>
      </c>
      <c r="D11">
        <f>('crimesUSA'!G9-'Données brutes'!M$13) / 'Données brutes'!M$15</f>
        <v>-0.50247213408969293</v>
      </c>
      <c r="E11">
        <f>('crimesUSA'!I9-'Données brutes'!N$13) / 'Données brutes'!N$15</f>
        <v>0.45568377586484998</v>
      </c>
      <c r="F11">
        <f>('crimesUSA'!J9-'Données brutes'!O$13) / 'Données brutes'!O$15</f>
        <v>4.6767962131177856E-2</v>
      </c>
      <c r="G11">
        <f>('crimesUSA'!K9-'Données brutes'!P$13) / 'Données brutes'!P$15</f>
        <v>-0.80626783336602315</v>
      </c>
      <c r="H11">
        <f>('crimesUSA'!L9-'Données brutes'!Q$13) / 'Données brutes'!Q$15</f>
        <v>0.57854338142185813</v>
      </c>
    </row>
    <row r="12" spans="1:8">
      <c r="A12" t="s">
        <v>56</v>
      </c>
      <c r="B12">
        <f>('crimesUSA'!E10-'Données brutes'!K$13) / 'Données brutes'!K$15</f>
        <v>-0.36959213215028108</v>
      </c>
      <c r="C12">
        <f>('crimesUSA'!F10-'Données brutes'!L$13) / 'Données brutes'!L$15</f>
        <v>0.36396617895012107</v>
      </c>
      <c r="D12">
        <f>('crimesUSA'!G10-'Données brutes'!M$13) / 'Données brutes'!M$15</f>
        <v>-0.32432008157188724</v>
      </c>
      <c r="E12">
        <f>('crimesUSA'!I10-'Données brutes'!N$13) / 'Données brutes'!N$15</f>
        <v>6.5549315754712151E-2</v>
      </c>
      <c r="F12">
        <f>('crimesUSA'!J10-'Données brutes'!O$13) / 'Données brutes'!O$15</f>
        <v>0.16177114769964721</v>
      </c>
      <c r="G12">
        <f>('crimesUSA'!K10-'Données brutes'!P$13) / 'Données brutes'!P$15</f>
        <v>-0.41922668041113603</v>
      </c>
      <c r="H12">
        <f>('crimesUSA'!L10-'Données brutes'!Q$13) / 'Données brutes'!Q$15</f>
        <v>0.40356806623702324</v>
      </c>
    </row>
    <row r="13" spans="1:8">
      <c r="A13" t="s">
        <v>57</v>
      </c>
      <c r="B13">
        <f>('crimesUSA'!E11-'Données brutes'!K$13) / 'Données brutes'!K$15</f>
        <v>0.1759705782757911</v>
      </c>
      <c r="C13">
        <f>('crimesUSA'!F11-'Données brutes'!L$13) / 'Données brutes'!L$15</f>
        <v>0.66973916283867796</v>
      </c>
      <c r="D13">
        <f>('crimesUSA'!G11-'Données brutes'!M$13) / 'Données brutes'!M$15</f>
        <v>0.1142881880772126</v>
      </c>
      <c r="E13">
        <f>('crimesUSA'!I11-'Données brutes'!N$13) / 'Données brutes'!N$15</f>
        <v>-0.15558293210943944</v>
      </c>
      <c r="F13">
        <f>('crimesUSA'!J11-'Données brutes'!O$13) / 'Données brutes'!O$15</f>
        <v>0.54511509959454518</v>
      </c>
      <c r="G13">
        <f>('crimesUSA'!K11-'Données brutes'!P$13) / 'Données brutes'!P$15</f>
        <v>-1.0252516435904988</v>
      </c>
      <c r="H13">
        <f>('crimesUSA'!L11-'Données brutes'!Q$13) / 'Données brutes'!Q$15</f>
        <v>0.38794527023837727</v>
      </c>
    </row>
    <row r="14" spans="1:8">
      <c r="A14" t="s">
        <v>58</v>
      </c>
      <c r="B14">
        <f>('crimesUSA'!E12-'Données brutes'!K$13) / 'Données brutes'!K$15</f>
        <v>0.21215224047569942</v>
      </c>
      <c r="C14">
        <f>('crimesUSA'!F12-'Données brutes'!L$13) / 'Données brutes'!L$15</f>
        <v>1.5317382497324321</v>
      </c>
      <c r="D14">
        <f>('crimesUSA'!G12-'Données brutes'!M$13) / 'Données brutes'!M$15</f>
        <v>1.6478543945462747</v>
      </c>
      <c r="E14">
        <f>('crimesUSA'!I12-'Données brutes'!N$13) / 'Données brutes'!N$15</f>
        <v>-0.86017921998076641</v>
      </c>
      <c r="F14">
        <f>('crimesUSA'!J12-'Données brutes'!O$13) / 'Données brutes'!O$15</f>
        <v>-0.52824796571116939</v>
      </c>
      <c r="G14">
        <f>('crimesUSA'!K12-'Données brutes'!P$13) / 'Données brutes'!P$15</f>
        <v>0.32429974500219994</v>
      </c>
      <c r="H14">
        <f>('crimesUSA'!L12-'Données brutes'!Q$13) / 'Données brutes'!Q$15</f>
        <v>0.54104867102510812</v>
      </c>
    </row>
    <row r="15" spans="1:8">
      <c r="A15" t="s">
        <v>59</v>
      </c>
      <c r="B15">
        <f>('crimesUSA'!E13-'Données brutes'!K$13) / 'Données brutes'!K$15</f>
        <v>0.1688761347071816</v>
      </c>
      <c r="C15">
        <f>('crimesUSA'!F13-'Données brutes'!L$13) / 'Données brutes'!L$15</f>
        <v>-0.92710588893576695</v>
      </c>
      <c r="D15">
        <f>('crimesUSA'!G13-'Données brutes'!M$13) / 'Données brutes'!M$15</f>
        <v>-0.5201831568546208</v>
      </c>
      <c r="E15">
        <f>('crimesUSA'!I13-'Données brutes'!N$13) / 'Données brutes'!N$15</f>
        <v>-0.421277952356861</v>
      </c>
      <c r="F15">
        <f>('crimesUSA'!J13-'Données brutes'!O$13) / 'Données brutes'!O$15</f>
        <v>-1.1032638935535164</v>
      </c>
      <c r="G15">
        <f>('crimesUSA'!K13-'Données brutes'!P$13) / 'Données brutes'!P$15</f>
        <v>-0.54654284914629625</v>
      </c>
      <c r="H15">
        <f>('crimesUSA'!L13-'Données brutes'!Q$13) / 'Données brutes'!Q$15</f>
        <v>-1.0993449088327207</v>
      </c>
    </row>
    <row r="16" spans="1:8">
      <c r="A16" t="s">
        <v>60</v>
      </c>
      <c r="B16">
        <f>('crimesUSA'!E14-'Données brutes'!K$13) / 'Données brutes'!K$15</f>
        <v>-0.90522262158029976</v>
      </c>
      <c r="C16">
        <f>('crimesUSA'!F14-'Données brutes'!L$13) / 'Données brutes'!L$15</f>
        <v>-1.7191982810431181</v>
      </c>
      <c r="D16">
        <f>('crimesUSA'!G14-'Données brutes'!M$13) / 'Données brutes'!M$15</f>
        <v>-1.3025936331170294</v>
      </c>
      <c r="E16">
        <f>('crimesUSA'!I14-'Données brutes'!N$13) / 'Données brutes'!N$15</f>
        <v>-0.69454023583917746</v>
      </c>
      <c r="F16">
        <f>('crimesUSA'!J14-'Données brutes'!O$13) / 'Données brutes'!O$15</f>
        <v>-1.0649294983640265</v>
      </c>
      <c r="G16">
        <f>('crimesUSA'!K14-'Données brutes'!P$13) / 'Données brutes'!P$15</f>
        <v>-0.11876052219615789</v>
      </c>
      <c r="H16">
        <f>('crimesUSA'!L14-'Données brutes'!Q$13) / 'Données brutes'!Q$15</f>
        <v>-1.6836374791820807</v>
      </c>
    </row>
    <row r="17" spans="1:8">
      <c r="A17" t="s">
        <v>61</v>
      </c>
      <c r="B17">
        <f>('crimesUSA'!E15-'Données brutes'!K$13) / 'Données brutes'!K$15</f>
        <v>-0.53631155601260483</v>
      </c>
      <c r="C17">
        <f>('crimesUSA'!F15-'Données brutes'!L$13) / 'Données brutes'!L$15</f>
        <v>-0.30234920718326963</v>
      </c>
      <c r="D17">
        <f>('crimesUSA'!G15-'Données brutes'!M$13) / 'Données brutes'!M$15</f>
        <v>-0.67437323739634725</v>
      </c>
      <c r="E17">
        <f>('crimesUSA'!I15-'Données brutes'!N$13) / 'Données brutes'!N$15</f>
        <v>2.9394613632436339E-2</v>
      </c>
      <c r="F17">
        <f>('crimesUSA'!J15-'Données brutes'!O$13) / 'Données brutes'!O$15</f>
        <v>0.69845268035250418</v>
      </c>
      <c r="G17">
        <f>('crimesUSA'!K15-'Données brutes'!P$13) / 'Données brutes'!P$15</f>
        <v>1.8740940037815335E-2</v>
      </c>
      <c r="H17">
        <f>('crimesUSA'!L15-'Données brutes'!Q$13) / 'Données brutes'!Q$15</f>
        <v>1.1190921229750095</v>
      </c>
    </row>
    <row r="18" spans="1:8">
      <c r="A18" t="s">
        <v>62</v>
      </c>
      <c r="B18">
        <f>('crimesUSA'!E16-'Données brutes'!K$13) / 'Données brutes'!K$15</f>
        <v>-0.16740049044490982</v>
      </c>
      <c r="C18">
        <f>('crimesUSA'!F16-'Données brutes'!L$13) / 'Données brutes'!L$15</f>
        <v>-0.25611170826942792</v>
      </c>
      <c r="D18">
        <f>('crimesUSA'!G16-'Données brutes'!M$13) / 'Données brutes'!M$15</f>
        <v>-9.5118610496348108E-2</v>
      </c>
      <c r="E18">
        <f>('crimesUSA'!I16-'Données brutes'!N$13) / 'Données brutes'!N$15</f>
        <v>-1.0123316594237028E-2</v>
      </c>
      <c r="F18">
        <f>('crimesUSA'!J16-'Données brutes'!O$13) / 'Données brutes'!O$15</f>
        <v>0.31510872845760618</v>
      </c>
      <c r="G18">
        <f>('crimesUSA'!K16-'Données brutes'!P$13) / 'Données brutes'!P$15</f>
        <v>-0.55163549589570282</v>
      </c>
      <c r="H18">
        <f>('crimesUSA'!L16-'Données brutes'!Q$13) / 'Données brutes'!Q$15</f>
        <v>0.51917675662700358</v>
      </c>
    </row>
    <row r="19" spans="1:8">
      <c r="A19" t="s">
        <v>63</v>
      </c>
      <c r="B19">
        <f>('crimesUSA'!E17-'Données brutes'!K$13) / 'Données brutes'!K$15</f>
        <v>-3.2606062641328967E-2</v>
      </c>
      <c r="C19">
        <f>('crimesUSA'!F17-'Données brutes'!L$13) / 'Données brutes'!L$15</f>
        <v>0.51038492551061843</v>
      </c>
      <c r="D19">
        <f>('crimesUSA'!G17-'Données brutes'!M$13) / 'Données brutes'!M$15</f>
        <v>0.38516265389375887</v>
      </c>
      <c r="E19">
        <f>('crimesUSA'!I17-'Données brutes'!N$13) / 'Données brutes'!N$15</f>
        <v>0.53556044334429631</v>
      </c>
      <c r="F19">
        <f>('crimesUSA'!J17-'Données brutes'!O$13) / 'Données brutes'!O$15</f>
        <v>-0.45157917533218966</v>
      </c>
      <c r="G19">
        <f>('crimesUSA'!K17-'Données brutes'!P$13) / 'Données brutes'!P$15</f>
        <v>4.9296820534253868E-2</v>
      </c>
      <c r="H19">
        <f>('crimesUSA'!L17-'Données brutes'!Q$13) / 'Données brutes'!Q$15</f>
        <v>-0.5681698448787571</v>
      </c>
    </row>
    <row r="20" spans="1:8">
      <c r="A20" t="s">
        <v>64</v>
      </c>
      <c r="B20">
        <f>('crimesUSA'!E18-'Données brutes'!K$13) / 'Données brutes'!K$15</f>
        <v>-1.1322731935500414E-2</v>
      </c>
      <c r="C20">
        <f>('crimesUSA'!F18-'Données brutes'!L$13) / 'Données brutes'!L$15</f>
        <v>-0.5861043344461877</v>
      </c>
      <c r="D20">
        <f>('crimesUSA'!G18-'Données brutes'!M$13) / 'Données brutes'!M$15</f>
        <v>0.15908665742379507</v>
      </c>
      <c r="E20">
        <f>('crimesUSA'!I18-'Données brutes'!N$13) / 'Données brutes'!N$15</f>
        <v>-1.0249773970962557</v>
      </c>
      <c r="F20">
        <f>('crimesUSA'!J18-'Données brutes'!O$13) / 'Données brutes'!O$15</f>
        <v>4.6767962131177856E-2</v>
      </c>
      <c r="G20">
        <f>('crimesUSA'!K18-'Données brutes'!P$13) / 'Données brutes'!P$15</f>
        <v>-0.63311784388620507</v>
      </c>
      <c r="H20">
        <f>('crimesUSA'!L18-'Données brutes'!Q$13) / 'Données brutes'!Q$15</f>
        <v>-0.44318747688958926</v>
      </c>
    </row>
    <row r="21" spans="1:8">
      <c r="A21" t="s">
        <v>65</v>
      </c>
      <c r="B21">
        <f>('crimesUSA'!E19-'Données brutes'!K$13) / 'Données brutes'!K$15</f>
        <v>1.6438109526211002</v>
      </c>
      <c r="C21">
        <f>('crimesUSA'!F19-'Données brutes'!L$13) / 'Données brutes'!L$15</f>
        <v>2.2456672508187663</v>
      </c>
      <c r="D21">
        <f>('crimesUSA'!G19-'Données brutes'!M$13) / 'Données brutes'!M$15</f>
        <v>0.18304862939987426</v>
      </c>
      <c r="E21">
        <f>('crimesUSA'!I19-'Données brutes'!N$13) / 'Données brutes'!N$15</f>
        <v>1.2746298192857004</v>
      </c>
      <c r="F21">
        <f>('crimesUSA'!J19-'Données brutes'!O$13) / 'Données brutes'!O$15</f>
        <v>2.6535068350164841</v>
      </c>
      <c r="G21">
        <f>('crimesUSA'!K19-'Données brutes'!P$13) / 'Données brutes'!P$15</f>
        <v>6.4574760782472956E-2</v>
      </c>
      <c r="H21">
        <f>('crimesUSA'!L19-'Données brutes'!Q$13) / 'Données brutes'!Q$15</f>
        <v>0.75039413740696392</v>
      </c>
    </row>
    <row r="22" spans="1:8">
      <c r="A22" t="s">
        <v>66</v>
      </c>
      <c r="B22">
        <f>('crimesUSA'!E20-'Données brutes'!K$13) / 'Données brutes'!K$15</f>
        <v>-1.193966474822707</v>
      </c>
      <c r="C22">
        <f>('crimesUSA'!F20-'Données brutes'!L$13) / 'Données brutes'!L$15</f>
        <v>-1.7191982810431181</v>
      </c>
      <c r="D22">
        <f>('crimesUSA'!G20-'Données brutes'!M$13) / 'Données brutes'!M$15</f>
        <v>-1.2911335595632525</v>
      </c>
      <c r="E22">
        <f>('crimesUSA'!I20-'Données brutes'!N$13) / 'Données brutes'!N$15</f>
        <v>-7.9910299760490258E-2</v>
      </c>
      <c r="F22">
        <f>('crimesUSA'!J20-'Données brutes'!O$13) / 'Données brutes'!O$15</f>
        <v>-0.98826070798504695</v>
      </c>
      <c r="G22">
        <f>('crimesUSA'!K20-'Données brutes'!P$13) / 'Données brutes'!P$15</f>
        <v>-0.79608253986721034</v>
      </c>
      <c r="H22">
        <f>('crimesUSA'!L20-'Données brutes'!Q$13) / 'Données brutes'!Q$15</f>
        <v>-0.31820510890042136</v>
      </c>
    </row>
    <row r="23" spans="1:8">
      <c r="A23" t="s">
        <v>67</v>
      </c>
      <c r="B23">
        <f>('crimesUSA'!E21-'Données brutes'!K$13) / 'Données brutes'!K$15</f>
        <v>-0.48523156231861631</v>
      </c>
      <c r="C23">
        <f>('crimesUSA'!F21-'Données brutes'!L$13) / 'Données brutes'!L$15</f>
        <v>-0.14161885381610706</v>
      </c>
      <c r="D23">
        <f>('crimesUSA'!G21-'Données brutes'!M$13) / 'Données brutes'!M$15</f>
        <v>-0.27847978735677964</v>
      </c>
      <c r="E23">
        <f>('crimesUSA'!I21-'Données brutes'!N$13) / 'Données brutes'!N$15</f>
        <v>9.0773526537695215E-2</v>
      </c>
      <c r="F23">
        <f>('crimesUSA'!J21-'Données brutes'!O$13) / 'Données brutes'!O$15</f>
        <v>1.6184781649002598</v>
      </c>
      <c r="G23">
        <f>('crimesUSA'!K21-'Données brutes'!P$13) / 'Données brutes'!P$15</f>
        <v>-0.81645312686483584</v>
      </c>
      <c r="H23">
        <f>('crimesUSA'!L21-'Données brutes'!Q$13) / 'Données brutes'!Q$15</f>
        <v>2.8001049724293168</v>
      </c>
    </row>
    <row r="24" spans="1:8">
      <c r="A24" t="s">
        <v>68</v>
      </c>
      <c r="B24">
        <f>('crimesUSA'!E22-'Données brutes'!K$13) / 'Données brutes'!K$15</f>
        <v>-1.2237631378108669</v>
      </c>
      <c r="C24">
        <f>('crimesUSA'!F22-'Données brutes'!L$13) / 'Données brutes'!L$15</f>
        <v>-1.4304891360394307</v>
      </c>
      <c r="D24">
        <f>('crimesUSA'!G22-'Données brutes'!M$13) / 'Données brutes'!M$15</f>
        <v>-1.6557722635470646</v>
      </c>
      <c r="E24">
        <f>('crimesUSA'!I22-'Données brutes'!N$13) / 'Données brutes'!N$15</f>
        <v>-1.5908405256611757</v>
      </c>
      <c r="F24">
        <f>('crimesUSA'!J22-'Données brutes'!O$13) / 'Données brutes'!O$15</f>
        <v>-1.2566014743114755</v>
      </c>
      <c r="G24">
        <f>('crimesUSA'!K22-'Données brutes'!P$13) / 'Données brutes'!P$15</f>
        <v>-0.47015314790520013</v>
      </c>
      <c r="H24">
        <f>('crimesUSA'!L22-'Données brutes'!Q$13) / 'Données brutes'!Q$15</f>
        <v>-1.518035841596433</v>
      </c>
    </row>
    <row r="25" spans="1:8">
      <c r="A25" t="s">
        <v>69</v>
      </c>
      <c r="B25">
        <f>('crimesUSA'!E23-'Données brutes'!K$13) / 'Données brutes'!K$15</f>
        <v>-0.43415156862462745</v>
      </c>
      <c r="C25">
        <f>('crimesUSA'!F23-'Données brutes'!L$13) / 'Données brutes'!L$15</f>
        <v>-1.1426056606592054</v>
      </c>
      <c r="D25">
        <f>('crimesUSA'!G23-'Données brutes'!M$13) / 'Données brutes'!M$15</f>
        <v>-0.36703490118141979</v>
      </c>
      <c r="E25">
        <f>('crimesUSA'!I23-'Données brutes'!N$13) / 'Données brutes'!N$15</f>
        <v>0.46577346017804311</v>
      </c>
      <c r="F25">
        <f>('crimesUSA'!J23-'Données brutes'!O$13) / 'Données brutes'!O$15</f>
        <v>0.31510872845760618</v>
      </c>
      <c r="G25">
        <f>('crimesUSA'!K23-'Données brutes'!P$13) / 'Données brutes'!P$15</f>
        <v>1.2613467468929798</v>
      </c>
      <c r="H25">
        <f>('crimesUSA'!L23-'Données brutes'!Q$13) / 'Données brutes'!Q$15</f>
        <v>-0.28071039850367091</v>
      </c>
    </row>
    <row r="26" spans="1:8">
      <c r="A26" t="s">
        <v>70</v>
      </c>
      <c r="B26">
        <f>('crimesUSA'!E24-'Données brutes'!K$13) / 'Données brutes'!K$15</f>
        <v>-0.46040100982848303</v>
      </c>
      <c r="C26">
        <f>('crimesUSA'!F24-'Données brutes'!L$13) / 'Données brutes'!L$15</f>
        <v>0.16800725498193678</v>
      </c>
      <c r="D26">
        <f>('crimesUSA'!G24-'Données brutes'!M$13) / 'Données brutes'!M$15</f>
        <v>-0.14616802905408188</v>
      </c>
      <c r="E26">
        <f>('crimesUSA'!I24-'Données brutes'!N$13) / 'Données brutes'!N$15</f>
        <v>-0.97032494039979234</v>
      </c>
      <c r="F26">
        <f>('crimesUSA'!J24-'Données brutes'!O$13) / 'Données brutes'!O$15</f>
        <v>-1.0265951031745368</v>
      </c>
      <c r="G26">
        <f>('crimesUSA'!K24-'Données brutes'!P$13) / 'Données brutes'!P$15</f>
        <v>-0.21552081043487961</v>
      </c>
      <c r="H26">
        <f>('crimesUSA'!L24-'Données brutes'!Q$13) / 'Données brutes'!Q$15</f>
        <v>-0.21197009610962872</v>
      </c>
    </row>
    <row r="27" spans="1:8">
      <c r="A27" t="s">
        <v>71</v>
      </c>
      <c r="B27">
        <f>('crimesUSA'!E25-'Données brutes'!K$13) / 'Données brutes'!K$15</f>
        <v>0.58957663832572571</v>
      </c>
      <c r="C27">
        <f>('crimesUSA'!F25-'Données brutes'!L$13) / 'Données brutes'!L$15</f>
        <v>0.90422933590172994</v>
      </c>
      <c r="D27">
        <f>('crimesUSA'!G25-'Données brutes'!M$13) / 'Données brutes'!M$15</f>
        <v>1.3582270810962751</v>
      </c>
      <c r="E27">
        <f>('crimesUSA'!I25-'Données brutes'!N$13) / 'Données brutes'!N$15</f>
        <v>0.89878907861925239</v>
      </c>
      <c r="F27">
        <f>('crimesUSA'!J25-'Données brutes'!O$13) / 'Données brutes'!O$15</f>
        <v>1.7334813504687294</v>
      </c>
      <c r="G27">
        <f>('crimesUSA'!K25-'Données brutes'!P$13) / 'Données brutes'!P$15</f>
        <v>-6.7222937092167164E-3</v>
      </c>
      <c r="H27">
        <f>('crimesUSA'!L25-'Données brutes'!Q$13) / 'Données brutes'!Q$15</f>
        <v>0.56916970382267063</v>
      </c>
    </row>
    <row r="28" spans="1:8">
      <c r="A28" t="s">
        <v>72</v>
      </c>
      <c r="B28">
        <f>('crimesUSA'!E26-'Données brutes'!K$13) / 'Données brutes'!K$15</f>
        <v>1.9843442439143573</v>
      </c>
      <c r="C28">
        <f>('crimesUSA'!F26-'Données brutes'!L$13) / 'Données brutes'!L$15</f>
        <v>5.2963954112974845E-2</v>
      </c>
      <c r="D28">
        <f>('crimesUSA'!G26-'Données brutes'!M$13) / 'Données brutes'!M$15</f>
        <v>-0.20659387142854232</v>
      </c>
      <c r="E28">
        <f>('crimesUSA'!I26-'Données brutes'!N$13) / 'Données brutes'!N$15</f>
        <v>-0.55412546248057182</v>
      </c>
      <c r="F28">
        <f>('crimesUSA'!J26-'Données brutes'!O$13) / 'Données brutes'!O$15</f>
        <v>2.4618348590690351</v>
      </c>
      <c r="G28">
        <f>('crimesUSA'!K26-'Données brutes'!P$13) / 'Données brutes'!P$15</f>
        <v>-1.1474751655762525</v>
      </c>
      <c r="H28">
        <f>('crimesUSA'!L26-'Données brutes'!Q$13) / 'Données brutes'!Q$15</f>
        <v>-0.17135082651314901</v>
      </c>
    </row>
    <row r="29" spans="1:8">
      <c r="A29" t="s">
        <v>73</v>
      </c>
      <c r="B29">
        <f>('crimesUSA'!E27-'Données brutes'!K$13) / 'Données brutes'!K$15</f>
        <v>-0.54766266572237976</v>
      </c>
      <c r="C29">
        <f>('crimesUSA'!F27-'Données brutes'!L$13) / 'Données brutes'!L$15</f>
        <v>0.45176238224485493</v>
      </c>
      <c r="D29">
        <f>('crimesUSA'!G27-'Données brutes'!M$13) / 'Données brutes'!M$15</f>
        <v>9.8660815049334924E-2</v>
      </c>
      <c r="E29">
        <f>('crimesUSA'!I27-'Données brutes'!N$13) / 'Données brutes'!N$15</f>
        <v>0.62552679513693588</v>
      </c>
      <c r="F29">
        <f>('crimesUSA'!J27-'Données brutes'!O$13) / 'Données brutes'!O$15</f>
        <v>-0.8732575224165775</v>
      </c>
      <c r="G29">
        <f>('crimesUSA'!K27-'Données brutes'!P$13) / 'Données brutes'!P$15</f>
        <v>0.54837620197608195</v>
      </c>
      <c r="H29">
        <f>('crimesUSA'!L27-'Données brutes'!Q$13) / 'Données brutes'!Q$15</f>
        <v>-1.3555587632105148</v>
      </c>
    </row>
    <row r="30" spans="1:8">
      <c r="A30" t="s">
        <v>74</v>
      </c>
      <c r="B30">
        <f>('crimesUSA'!E28-'Données brutes'!K$13) / 'Données brutes'!K$15</f>
        <v>1.2188537828613903</v>
      </c>
      <c r="C30">
        <f>('crimesUSA'!F28-'Données brutes'!L$13) / 'Données brutes'!L$15</f>
        <v>0.35653515233896793</v>
      </c>
      <c r="D30">
        <f>('crimesUSA'!G28-'Données brutes'!M$13) / 'Données brutes'!M$15</f>
        <v>-0.42433526895030454</v>
      </c>
      <c r="E30">
        <f>('crimesUSA'!I28-'Données brutes'!N$13) / 'Données brutes'!N$15</f>
        <v>0.10002240382478872</v>
      </c>
      <c r="F30">
        <f>('crimesUSA'!J28-'Données brutes'!O$13) / 'Données brutes'!O$15</f>
        <v>0.46844630921556557</v>
      </c>
      <c r="G30">
        <f>('crimesUSA'!K28-'Données brutes'!P$13) / 'Données brutes'!P$15</f>
        <v>-0.84700900736127438</v>
      </c>
      <c r="H30">
        <f>('crimesUSA'!L28-'Données brutes'!Q$13) / 'Données brutes'!Q$15</f>
        <v>0.30983129024514733</v>
      </c>
    </row>
    <row r="31" spans="1:8">
      <c r="A31" t="s">
        <v>75</v>
      </c>
      <c r="B31">
        <f>('crimesUSA'!E29-'Données brutes'!K$13) / 'Données brutes'!K$15</f>
        <v>-3.615328442563373E-2</v>
      </c>
      <c r="C31">
        <f>('crimesUSA'!F29-'Données brutes'!L$13) / 'Données brutes'!L$15</f>
        <v>-0.37665947329480015</v>
      </c>
      <c r="D31">
        <f>('crimesUSA'!G29-'Données brutes'!M$13) / 'Données brutes'!M$15</f>
        <v>0.23201439822055753</v>
      </c>
      <c r="E31">
        <f>('crimesUSA'!I29-'Données brutes'!N$13) / 'Données brutes'!N$15</f>
        <v>-0.4195963383046622</v>
      </c>
      <c r="F31">
        <f>('crimesUSA'!J29-'Données brutes'!O$13) / 'Données brutes'!O$15</f>
        <v>-0.64325115127963872</v>
      </c>
      <c r="G31">
        <f>('crimesUSA'!K29-'Données brutes'!P$13) / 'Données brutes'!P$15</f>
        <v>0.49235708773261133</v>
      </c>
      <c r="H31">
        <f>('crimesUSA'!L29-'Données brutes'!Q$13) / 'Données brutes'!Q$15</f>
        <v>-1.2212027176221594</v>
      </c>
    </row>
    <row r="32" spans="1:8">
      <c r="A32" t="s">
        <v>76</v>
      </c>
      <c r="B32">
        <f>('crimesUSA'!E30-'Données brutes'!K$13) / 'Données brutes'!K$15</f>
        <v>-0.72360486622389586</v>
      </c>
      <c r="C32">
        <f>('crimesUSA'!F30-'Données brutes'!L$13) / 'Données brutes'!L$15</f>
        <v>-4.2934820419918818E-4</v>
      </c>
      <c r="D32">
        <f>('crimesUSA'!G30-'Données brutes'!M$13) / 'Données brutes'!M$15</f>
        <v>0.46642499363872253</v>
      </c>
      <c r="E32">
        <f>('crimesUSA'!I30-'Données brutes'!N$13) / 'Données brutes'!N$15</f>
        <v>-0.48433847931431862</v>
      </c>
      <c r="F32">
        <f>('crimesUSA'!J30-'Données brutes'!O$13) / 'Données brutes'!O$15</f>
        <v>-0.94992631279555728</v>
      </c>
      <c r="G32">
        <f>('crimesUSA'!K30-'Données brutes'!P$13) / 'Données brutes'!P$15</f>
        <v>0.87430559393809215</v>
      </c>
      <c r="H32">
        <f>('crimesUSA'!L30-'Données brutes'!Q$13) / 'Données brutes'!Q$15</f>
        <v>-0.67752941686927903</v>
      </c>
    </row>
    <row r="33" spans="1:8">
      <c r="A33" t="s">
        <v>77</v>
      </c>
      <c r="B33">
        <f>('crimesUSA'!E31-'Données brutes'!K$13) / 'Données brutes'!K$15</f>
        <v>-1.5678436508884286</v>
      </c>
      <c r="C33">
        <f>('crimesUSA'!F31-'Données brutes'!L$13) / 'Données brutes'!L$15</f>
        <v>-1.4288377967925081</v>
      </c>
      <c r="D33">
        <f>('crimesUSA'!G31-'Données brutes'!M$13) / 'Données brutes'!M$15</f>
        <v>-1.533878753929619</v>
      </c>
      <c r="E33">
        <f>('crimesUSA'!I31-'Données brutes'!N$13) / 'Données brutes'!N$15</f>
        <v>-1.4024997518149021</v>
      </c>
      <c r="F33">
        <f>('crimesUSA'!J31-'Données brutes'!O$13) / 'Données brutes'!O$15</f>
        <v>-0.91159191760606739</v>
      </c>
      <c r="G33">
        <f>('crimesUSA'!K31-'Données brutes'!P$13) / 'Données brutes'!P$15</f>
        <v>-0.21552081043487961</v>
      </c>
      <c r="H33">
        <f>('crimesUSA'!L31-'Données brutes'!Q$13) / 'Données brutes'!Q$15</f>
        <v>-1.2368255136208053</v>
      </c>
    </row>
    <row r="34" spans="1:8">
      <c r="A34" t="s">
        <v>78</v>
      </c>
      <c r="B34">
        <f>('crimesUSA'!E32-'Données brutes'!K$13) / 'Données brutes'!K$15</f>
        <v>-1.1542375908384939</v>
      </c>
      <c r="C34">
        <f>('crimesUSA'!F32-'Données brutes'!L$13) / 'Données brutes'!L$15</f>
        <v>-1.3809489586317436</v>
      </c>
      <c r="D34">
        <f>('crimesUSA'!G32-'Données brutes'!M$13) / 'Données brutes'!M$15</f>
        <v>-1.0056735455873536</v>
      </c>
      <c r="E34">
        <f>('crimesUSA'!I32-'Données brutes'!N$13) / 'Données brutes'!N$15</f>
        <v>-1.0787890467666195</v>
      </c>
      <c r="F34">
        <f>('crimesUSA'!J32-'Données brutes'!O$13) / 'Données brutes'!O$15</f>
        <v>-0.71991994165861839</v>
      </c>
      <c r="G34">
        <f>('crimesUSA'!K32-'Données brutes'!P$13) / 'Données brutes'!P$15</f>
        <v>-1.5497942587793592</v>
      </c>
      <c r="H34">
        <f>('crimesUSA'!L32-'Données brutes'!Q$13) / 'Données brutes'!Q$15</f>
        <v>5.9866554266811541E-2</v>
      </c>
    </row>
    <row r="35" spans="1:8">
      <c r="A35" t="s">
        <v>79</v>
      </c>
      <c r="B35">
        <f>('crimesUSA'!E33-'Données brutes'!K$13) / 'Données brutes'!K$15</f>
        <v>2.4795364050033011</v>
      </c>
      <c r="C35">
        <f>('crimesUSA'!F33-'Données brutes'!L$13) / 'Données brutes'!L$15</f>
        <v>1.2449556671834883</v>
      </c>
      <c r="D35">
        <f>('crimesUSA'!G33-'Données brutes'!M$13) / 'Données brutes'!M$15</f>
        <v>2.232318145788899</v>
      </c>
      <c r="E35">
        <f>('crimesUSA'!I33-'Données brutes'!N$13) / 'Données brutes'!N$15</f>
        <v>3.3631944721166973</v>
      </c>
      <c r="F35">
        <f>('crimesUSA'!J33-'Données brutes'!O$13) / 'Données brutes'!O$15</f>
        <v>1.4651405841423002</v>
      </c>
      <c r="G35">
        <f>('crimesUSA'!K33-'Données brutes'!P$13) / 'Données brutes'!P$15</f>
        <v>0.7011556044582743</v>
      </c>
      <c r="H35">
        <f>('crimesUSA'!L33-'Données brutes'!Q$13) / 'Données brutes'!Q$15</f>
        <v>1.5315339373392634</v>
      </c>
    </row>
    <row r="36" spans="1:8">
      <c r="A36" t="s">
        <v>80</v>
      </c>
      <c r="B36">
        <f>('crimesUSA'!E34-'Données brutes'!K$13) / 'Données brutes'!K$15</f>
        <v>1.1081804631910817</v>
      </c>
      <c r="C36">
        <f>('crimesUSA'!F34-'Données brutes'!L$13) / 'Données brutes'!L$15</f>
        <v>-0.22969028031866173</v>
      </c>
      <c r="D36">
        <f>('crimesUSA'!G34-'Données brutes'!M$13) / 'Données brutes'!M$15</f>
        <v>1.5905540267773899</v>
      </c>
      <c r="E36">
        <f>('crimesUSA'!I34-'Données brutes'!N$13) / 'Données brutes'!N$15</f>
        <v>0.51958510984840722</v>
      </c>
      <c r="F36">
        <f>('crimesUSA'!J34-'Données brutes'!O$13) / 'Données brutes'!O$15</f>
        <v>-6.8235223437291825E-2</v>
      </c>
      <c r="G36">
        <f>('crimesUSA'!K34-'Données brutes'!P$13) / 'Données brutes'!P$15</f>
        <v>1.1493085184060385</v>
      </c>
      <c r="H36">
        <f>('crimesUSA'!L34-'Données brutes'!Q$13) / 'Données brutes'!Q$15</f>
        <v>1.3784305365525329</v>
      </c>
    </row>
    <row r="37" spans="1:8">
      <c r="A37" t="s">
        <v>81</v>
      </c>
      <c r="B37">
        <f>('crimesUSA'!E35-'Données brutes'!K$13) / 'Données brutes'!K$15</f>
        <v>-1.4571703312181201</v>
      </c>
      <c r="C37">
        <f>('crimesUSA'!F35-'Données brutes'!L$13) / 'Données brutes'!L$15</f>
        <v>-1.0193056635556288</v>
      </c>
      <c r="D37">
        <f>('crimesUSA'!G35-'Données brutes'!M$13) / 'Données brutes'!M$15</f>
        <v>-1.5380460534037195</v>
      </c>
      <c r="E37">
        <f>('crimesUSA'!I35-'Données brutes'!N$13) / 'Données brutes'!N$15</f>
        <v>-0.1808071428924225</v>
      </c>
      <c r="F37">
        <f>('crimesUSA'!J35-'Données brutes'!O$13) / 'Données brutes'!O$15</f>
        <v>-0.71991994165861839</v>
      </c>
      <c r="G37">
        <f>('crimesUSA'!K35-'Données brutes'!P$13) / 'Données brutes'!P$15</f>
        <v>-0.70441489837789506</v>
      </c>
      <c r="H37">
        <f>('crimesUSA'!L35-'Données brutes'!Q$13) / 'Données brutes'!Q$15</f>
        <v>0.94724136698990369</v>
      </c>
    </row>
    <row r="38" spans="1:8">
      <c r="A38" t="s">
        <v>82</v>
      </c>
      <c r="B38">
        <f>('crimesUSA'!E36-'Données brutes'!K$13) / 'Données brutes'!K$15</f>
        <v>0.2000916864090633</v>
      </c>
      <c r="C38">
        <f>('crimesUSA'!F36-'Données brutes'!L$13) / 'Données brutes'!L$15</f>
        <v>-4.4189838247655676E-2</v>
      </c>
      <c r="D38">
        <f>('crimesUSA'!G36-'Données brutes'!M$13) / 'Données brutes'!M$15</f>
        <v>-0.55456337751595175</v>
      </c>
      <c r="E38">
        <f>('crimesUSA'!I36-'Données brutes'!N$13) / 'Données brutes'!N$15</f>
        <v>-0.72817251688315487</v>
      </c>
      <c r="F38">
        <f>('crimesUSA'!J36-'Données brutes'!O$13) / 'Données brutes'!O$15</f>
        <v>-6.8235223437291825E-2</v>
      </c>
      <c r="G38">
        <f>('crimesUSA'!K36-'Données brutes'!P$13) / 'Données brutes'!P$15</f>
        <v>6.9667407531879444E-2</v>
      </c>
      <c r="H38">
        <f>('crimesUSA'!L36-'Données brutes'!Q$13) / 'Données brutes'!Q$15</f>
        <v>0.4098171846364817</v>
      </c>
    </row>
    <row r="39" spans="1:8">
      <c r="A39" t="s">
        <v>83</v>
      </c>
      <c r="B39">
        <f>('crimesUSA'!E37-'Données brutes'!K$13) / 'Données brutes'!K$15</f>
        <v>2.3014658714312031</v>
      </c>
      <c r="C39">
        <f>('crimesUSA'!F37-'Données brutes'!L$13) / 'Données brutes'!L$15</f>
        <v>0.82303848959468728</v>
      </c>
      <c r="D39">
        <f>('crimesUSA'!G37-'Données brutes'!M$13) / 'Données brutes'!M$15</f>
        <v>1.3040521879329658</v>
      </c>
      <c r="E39">
        <f>('crimesUSA'!I37-'Données brutes'!N$13) / 'Données brutes'!N$15</f>
        <v>0.48258960070003182</v>
      </c>
      <c r="F39">
        <f>('crimesUSA'!J37-'Données brutes'!O$13) / 'Données brutes'!O$15</f>
        <v>0.7367870755419943</v>
      </c>
      <c r="G39">
        <f>('crimesUSA'!K37-'Données brutes'!P$13) / 'Données brutes'!P$15</f>
        <v>0.49235708773261133</v>
      </c>
      <c r="H39">
        <f>('crimesUSA'!L37-'Données brutes'!Q$13) / 'Données brutes'!Q$15</f>
        <v>-8.3863168920731576E-2</v>
      </c>
    </row>
    <row r="40" spans="1:8">
      <c r="A40" t="s">
        <v>84</v>
      </c>
      <c r="B40">
        <f>('crimesUSA'!E38-'Données brutes'!K$13) / 'Données brutes'!K$15</f>
        <v>1.2798376197772191E-2</v>
      </c>
      <c r="C40">
        <f>('crimesUSA'!F38-'Données brutes'!L$13) / 'Données brutes'!L$15</f>
        <v>1.3349536561407864</v>
      </c>
      <c r="D40">
        <f>('crimesUSA'!G38-'Données brutes'!M$13) / 'Données brutes'!M$15</f>
        <v>1.5322118341399795</v>
      </c>
      <c r="E40">
        <f>('crimesUSA'!I38-'Données brutes'!N$13) / 'Données brutes'!N$15</f>
        <v>-0.54655819924567695</v>
      </c>
      <c r="F40">
        <f>('crimesUSA'!J38-'Données brutes'!O$13) / 'Données brutes'!O$15</f>
        <v>-0.75825433684810817</v>
      </c>
      <c r="G40">
        <f>('crimesUSA'!K38-'Données brutes'!P$13) / 'Données brutes'!P$15</f>
        <v>-0.27663257142775632</v>
      </c>
      <c r="H40">
        <f>('crimesUSA'!L38-'Données brutes'!Q$13) / 'Données brutes'!Q$15</f>
        <v>-0.26821216170475415</v>
      </c>
    </row>
    <row r="41" spans="1:8">
      <c r="A41" t="s">
        <v>85</v>
      </c>
      <c r="B41">
        <f>('crimesUSA'!E39-'Données brutes'!K$13) / 'Données brutes'!K$15</f>
        <v>-1.1698453666894346</v>
      </c>
      <c r="C41">
        <f>('crimesUSA'!F39-'Données brutes'!L$13) / 'Données brutes'!L$15</f>
        <v>-1.134624187632411</v>
      </c>
      <c r="D41">
        <f>('crimesUSA'!G39-'Données brutes'!M$13) / 'Données brutes'!M$15</f>
        <v>-1.2098712198182886</v>
      </c>
      <c r="E41">
        <f>('crimesUSA'!I39-'Données brutes'!N$13) / 'Données brutes'!N$15</f>
        <v>-0.49947300578410858</v>
      </c>
      <c r="F41">
        <f>('crimesUSA'!J39-'Données brutes'!O$13) / 'Données brutes'!O$15</f>
        <v>0.16177114769964721</v>
      </c>
      <c r="G41">
        <f>('crimesUSA'!K39-'Données brutes'!P$13) / 'Données brutes'!P$15</f>
        <v>-0.69422960487908214</v>
      </c>
      <c r="H41">
        <f>('crimesUSA'!L39-'Données brutes'!Q$13) / 'Données brutes'!Q$15</f>
        <v>0.42231542143539824</v>
      </c>
    </row>
    <row r="42" spans="1:8">
      <c r="A42" t="s">
        <v>86</v>
      </c>
      <c r="B42">
        <f>('crimesUSA'!E40-'Données brutes'!K$13) / 'Données brutes'!K$15</f>
        <v>-0.90947928772146536</v>
      </c>
      <c r="C42">
        <f>('crimesUSA'!F40-'Données brutes'!L$13) / 'Données brutes'!L$15</f>
        <v>-0.96040789708204521</v>
      </c>
      <c r="D42">
        <f>('crimesUSA'!G40-'Données brutes'!M$13) / 'Données brutes'!M$15</f>
        <v>-0.88273821110138284</v>
      </c>
      <c r="E42">
        <f>('crimesUSA'!I40-'Données brutes'!N$13) / 'Données brutes'!N$15</f>
        <v>-0.9888226949739799</v>
      </c>
      <c r="F42">
        <f>('crimesUSA'!J40-'Données brutes'!O$13) / 'Données brutes'!O$15</f>
        <v>-0.91159191760606739</v>
      </c>
      <c r="G42">
        <f>('crimesUSA'!K40-'Données brutes'!P$13) / 'Données brutes'!P$15</f>
        <v>-6.7834054702093791E-2</v>
      </c>
      <c r="H42">
        <f>('crimesUSA'!L40-'Données brutes'!Q$13) / 'Données brutes'!Q$15</f>
        <v>-0.72127324566548778</v>
      </c>
    </row>
    <row r="43" spans="1:8">
      <c r="A43" t="s">
        <v>87</v>
      </c>
      <c r="B43">
        <f>('crimesUSA'!E41-'Données brutes'!K$13) / 'Données brutes'!K$15</f>
        <v>1.320304325892506</v>
      </c>
      <c r="C43">
        <f>('crimesUSA'!F41-'Données brutes'!L$13) / 'Données brutes'!L$15</f>
        <v>1.5953148107389634</v>
      </c>
      <c r="D43">
        <f>('crimesUSA'!G41-'Données brutes'!M$13) / 'Données brutes'!M$15</f>
        <v>0.81126902512055665</v>
      </c>
      <c r="E43">
        <f>('crimesUSA'!I41-'Données brutes'!N$13) / 'Données brutes'!N$15</f>
        <v>1.1770962042581656</v>
      </c>
      <c r="F43">
        <f>('crimesUSA'!J41-'Données brutes'!O$13) / 'Données brutes'!O$15</f>
        <v>1.6184781649002598</v>
      </c>
      <c r="G43">
        <f>('crimesUSA'!K41-'Données brutes'!P$13) / 'Données brutes'!P$15</f>
        <v>8.5556465390023706E-3</v>
      </c>
      <c r="H43">
        <f>('crimesUSA'!L41-'Données brutes'!Q$13) / 'Données brutes'!Q$15</f>
        <v>4.4243758268165553E-2</v>
      </c>
    </row>
    <row r="44" spans="1:8">
      <c r="A44" t="s">
        <v>88</v>
      </c>
      <c r="B44">
        <f>('crimesUSA'!E42-'Données brutes'!K$13) / 'Données brutes'!K$15</f>
        <v>-0.34192380223270374</v>
      </c>
      <c r="C44">
        <f>('crimesUSA'!F42-'Données brutes'!L$13) / 'Données brutes'!L$15</f>
        <v>-0.7239911615642497</v>
      </c>
      <c r="D44">
        <f>('crimesUSA'!G42-'Données brutes'!M$13) / 'Données brutes'!M$15</f>
        <v>-0.15033532852818265</v>
      </c>
      <c r="E44">
        <f>('crimesUSA'!I42-'Données brutes'!N$13) / 'Données brutes'!N$15</f>
        <v>0.43718602129066247</v>
      </c>
      <c r="F44">
        <f>('crimesUSA'!J42-'Données brutes'!O$13) / 'Données brutes'!O$15</f>
        <v>-1.1032638935535164</v>
      </c>
      <c r="G44">
        <f>('crimesUSA'!K42-'Données brutes'!P$13) / 'Données brutes'!P$15</f>
        <v>1.271532040391792</v>
      </c>
      <c r="H44">
        <f>('crimesUSA'!L42-'Données brutes'!Q$13) / 'Données brutes'!Q$15</f>
        <v>-1.2680711056180973</v>
      </c>
    </row>
    <row r="45" spans="1:8">
      <c r="A45" t="s">
        <v>89</v>
      </c>
      <c r="B45">
        <f>('crimesUSA'!E43-'Données brutes'!K$13) / 'Données brutes'!K$15</f>
        <v>0.63923774330599237</v>
      </c>
      <c r="C45">
        <f>('crimesUSA'!F43-'Données brutes'!L$13) / 'Données brutes'!L$15</f>
        <v>1.0952342421291457</v>
      </c>
      <c r="D45">
        <f>('crimesUSA'!G43-'Données brutes'!M$13) / 'Données brutes'!M$15</f>
        <v>0.70812836313656369</v>
      </c>
      <c r="E45">
        <f>('crimesUSA'!I43-'Données brutes'!N$13) / 'Données brutes'!N$15</f>
        <v>1.7337104555359917</v>
      </c>
      <c r="F45">
        <f>('crimesUSA'!J43-'Données brutes'!O$13) / 'Données brutes'!O$15</f>
        <v>0.96679344667893297</v>
      </c>
      <c r="G45">
        <f>('crimesUSA'!K43-'Données brutes'!P$13) / 'Données brutes'!P$15</f>
        <v>-0.32755903892182042</v>
      </c>
      <c r="H45">
        <f>('crimesUSA'!L43-'Données brutes'!Q$13) / 'Données brutes'!Q$15</f>
        <v>0.85975370939748585</v>
      </c>
    </row>
    <row r="46" spans="1:8">
      <c r="A46" t="s">
        <v>90</v>
      </c>
      <c r="B46">
        <f>('crimesUSA'!E44-'Données brutes'!K$13) / 'Données brutes'!K$15</f>
        <v>0.32282556014600805</v>
      </c>
      <c r="C46">
        <f>('crimesUSA'!F44-'Données brutes'!L$13) / 'Données brutes'!L$15</f>
        <v>0.5343293445909999</v>
      </c>
      <c r="D46">
        <f>('crimesUSA'!G44-'Données brutes'!M$13) / 'Données brutes'!M$15</f>
        <v>0.56539835614861444</v>
      </c>
      <c r="E46">
        <f>('crimesUSA'!I44-'Données brutes'!N$13) / 'Données brutes'!N$15</f>
        <v>0.10506724598138552</v>
      </c>
      <c r="F46">
        <f>('crimesUSA'!J44-'Données brutes'!O$13) / 'Données brutes'!O$15</f>
        <v>4.6767962131177856E-2</v>
      </c>
      <c r="G46">
        <f>('crimesUSA'!K44-'Données brutes'!P$13) / 'Données brutes'!P$15</f>
        <v>0.17661298926941413</v>
      </c>
      <c r="H46">
        <f>('crimesUSA'!L44-'Données brutes'!Q$13) / 'Données brutes'!Q$15</f>
        <v>1.1690850701706765</v>
      </c>
    </row>
    <row r="47" spans="1:8">
      <c r="A47" t="s">
        <v>91</v>
      </c>
      <c r="B47">
        <f>('crimesUSA'!E45-'Données brutes'!K$13) / 'Données brutes'!K$15</f>
        <v>-0.50083933816955717</v>
      </c>
      <c r="C47">
        <f>('crimesUSA'!F45-'Données brutes'!L$13) / 'Données brutes'!L$15</f>
        <v>0.40167175842152747</v>
      </c>
      <c r="D47">
        <f>('crimesUSA'!G45-'Données brutes'!M$13) / 'Données brutes'!M$15</f>
        <v>-2.8441818910736952E-2</v>
      </c>
      <c r="E47">
        <f>('crimesUSA'!I45-'Données brutes'!N$13) / 'Données brutes'!N$15</f>
        <v>-0.9173540977555279</v>
      </c>
      <c r="F47">
        <f>('crimesUSA'!J45-'Données brutes'!O$13) / 'Données brutes'!O$15</f>
        <v>-0.98826070798504695</v>
      </c>
      <c r="G47">
        <f>('crimesUSA'!K45-'Données brutes'!P$13) / 'Données brutes'!P$15</f>
        <v>0.46689385398557931</v>
      </c>
      <c r="H47">
        <f>('crimesUSA'!L45-'Données brutes'!Q$13) / 'Données brutes'!Q$15</f>
        <v>-0.85875385045357244</v>
      </c>
    </row>
    <row r="48" spans="1:8">
      <c r="A48" t="s">
        <v>92</v>
      </c>
      <c r="B48">
        <f>('crimesUSA'!E46-'Données brutes'!K$13) / 'Données brutes'!K$15</f>
        <v>-1.3088964606341811</v>
      </c>
      <c r="C48">
        <f>('crimesUSA'!F46-'Données brutes'!L$13) / 'Données brutes'!L$15</f>
        <v>-0.48702397963081373</v>
      </c>
      <c r="D48">
        <f>('crimesUSA'!G46-'Données brutes'!M$13) / 'Données brutes'!M$15</f>
        <v>-0.96504237571487184</v>
      </c>
      <c r="E48">
        <f>('crimesUSA'!I46-'Données brutes'!N$13) / 'Données brutes'!N$15</f>
        <v>-1.0241365900701562</v>
      </c>
      <c r="F48">
        <f>('crimesUSA'!J46-'Données brutes'!O$13) / 'Données brutes'!O$15</f>
        <v>8.5102357320667524E-2</v>
      </c>
      <c r="G48">
        <f>('crimesUSA'!K46-'Données brutes'!P$13) / 'Données brutes'!P$15</f>
        <v>-0.74515607237314618</v>
      </c>
      <c r="H48">
        <f>('crimesUSA'!L46-'Données brutes'!Q$13) / 'Données brutes'!Q$15</f>
        <v>-0.66503118007036233</v>
      </c>
    </row>
    <row r="49" spans="1:8">
      <c r="A49" t="s">
        <v>93</v>
      </c>
      <c r="B49">
        <f>('crimesUSA'!E47-'Données brutes'!K$13) / 'Données brutes'!K$15</f>
        <v>-1.0144770525368862</v>
      </c>
      <c r="C49">
        <f>('crimesUSA'!F47-'Données brutes'!L$13) / 'Données brutes'!L$15</f>
        <v>-1.0022418246707587</v>
      </c>
      <c r="D49">
        <f>('crimesUSA'!G47-'Données brutes'!M$13) / 'Données brutes'!M$15</f>
        <v>-1.7203654053956257</v>
      </c>
      <c r="E49">
        <f>('crimesUSA'!I47-'Données brutes'!N$13) / 'Données brutes'!N$15</f>
        <v>-0.89044827292034601</v>
      </c>
      <c r="F49">
        <f>('crimesUSA'!J47-'Données brutes'!O$13) / 'Données brutes'!O$15</f>
        <v>-1.1415982887430063</v>
      </c>
      <c r="G49">
        <f>('crimesUSA'!K47-'Données brutes'!P$13) / 'Données brutes'!P$15</f>
        <v>-0.15440904944200254</v>
      </c>
      <c r="H49">
        <f>('crimesUSA'!L47-'Données brutes'!Q$13) / 'Données brutes'!Q$15</f>
        <v>-1.5992743807893923</v>
      </c>
    </row>
    <row r="50" spans="1:8">
      <c r="A50" t="s">
        <v>94</v>
      </c>
      <c r="B50">
        <f>('crimesUSA'!E48-'Données brutes'!K$13) / 'Données brutes'!K$15</f>
        <v>0.75416772911746688</v>
      </c>
      <c r="C50">
        <f>('crimesUSA'!F48-'Données brutes'!L$13) / 'Données brutes'!L$15</f>
        <v>1.0223000920567176</v>
      </c>
      <c r="D50">
        <f>('crimesUSA'!G48-'Données brutes'!M$13) / 'Données brutes'!M$15</f>
        <v>1.1206910110725343</v>
      </c>
      <c r="E50">
        <f>('crimesUSA'!I48-'Données brutes'!N$13) / 'Données brutes'!N$15</f>
        <v>-0.5936433927072452</v>
      </c>
      <c r="F50">
        <f>('crimesUSA'!J48-'Données brutes'!O$13) / 'Données brutes'!O$15</f>
        <v>-0.83492312722708772</v>
      </c>
      <c r="G50">
        <f>('crimesUSA'!K48-'Données brutes'!P$13) / 'Données brutes'!P$15</f>
        <v>-0.19515022343725405</v>
      </c>
      <c r="H50">
        <f>('crimesUSA'!L48-'Données brutes'!Q$13) / 'Données brutes'!Q$15</f>
        <v>0.15672788945841648</v>
      </c>
    </row>
    <row r="51" spans="1:8">
      <c r="A51" t="s">
        <v>95</v>
      </c>
      <c r="B51">
        <f>('crimesUSA'!E49-'Données brutes'!K$13) / 'Données brutes'!K$15</f>
        <v>-0.92012095307437969</v>
      </c>
      <c r="C51">
        <f>('crimesUSA'!F49-'Données brutes'!L$13) / 'Données brutes'!L$15</f>
        <v>-1.1269179378134377</v>
      </c>
      <c r="D51">
        <f>('crimesUSA'!G49-'Données brutes'!M$13) / 'Données brutes'!M$15</f>
        <v>-0.89732375926073527</v>
      </c>
      <c r="E51">
        <f>('crimesUSA'!I49-'Données brutes'!N$13) / 'Données brutes'!N$15</f>
        <v>-0.42464118046125876</v>
      </c>
      <c r="F51">
        <f>('crimesUSA'!J49-'Données brutes'!O$13) / 'Données brutes'!O$15</f>
        <v>-0.6815855464691285</v>
      </c>
      <c r="G51">
        <f>('crimesUSA'!K49-'Données brutes'!P$13) / 'Données brutes'!P$15</f>
        <v>-0.44978256090757457</v>
      </c>
      <c r="H51">
        <f>('crimesUSA'!L49-'Données brutes'!Q$13) / 'Données brutes'!Q$15</f>
        <v>-0.34945070089771335</v>
      </c>
    </row>
    <row r="52" spans="1:8">
      <c r="A52" t="s">
        <v>96</v>
      </c>
      <c r="B52">
        <f>('crimesUSA'!E50-'Données brutes'!K$13) / 'Données brutes'!K$15</f>
        <v>-0.13192827260186224</v>
      </c>
      <c r="C52">
        <f>('crimesUSA'!F50-'Données brutes'!L$13) / 'Données brutes'!L$15</f>
        <v>-1.1470092319843328</v>
      </c>
      <c r="D52">
        <f>('crimesUSA'!G50-'Données brutes'!M$13) / 'Données brutes'!M$15</f>
        <v>-0.81189412004167061</v>
      </c>
      <c r="E52">
        <f>('crimesUSA'!I50-'Données brutes'!N$13) / 'Données brutes'!N$15</f>
        <v>-1.1804930646436042E-2</v>
      </c>
      <c r="F52">
        <f>('crimesUSA'!J50-'Données brutes'!O$13) / 'Données brutes'!O$15</f>
        <v>-0.14490401381627116</v>
      </c>
      <c r="G52">
        <f>('crimesUSA'!K50-'Données brutes'!P$13) / 'Données brutes'!P$15</f>
        <v>-0.28172521817716278</v>
      </c>
      <c r="H52">
        <f>('crimesUSA'!L50-'Données brutes'!Q$13) / 'Données brutes'!Q$15</f>
        <v>-1.2961921384156601</v>
      </c>
    </row>
    <row r="53" spans="1:8">
      <c r="A53" t="s">
        <v>97</v>
      </c>
      <c r="B53">
        <f>('crimesUSA'!E51-'Données brutes'!K$13) / 'Données brutes'!K$15</f>
        <v>-0.75269208485519512</v>
      </c>
      <c r="C53">
        <f>('crimesUSA'!F51-'Données brutes'!L$13) / 'Données brutes'!L$15</f>
        <v>-0.90756504118051229</v>
      </c>
      <c r="D53">
        <f>('crimesUSA'!G51-'Données brutes'!M$13) / 'Données brutes'!M$15</f>
        <v>-0.93482945452764155</v>
      </c>
      <c r="E53">
        <f>('crimesUSA'!I51-'Données brutes'!N$13) / 'Données brutes'!N$15</f>
        <v>-0.86522406213736291</v>
      </c>
      <c r="F53">
        <f>('crimesUSA'!J51-'Données brutes'!O$13) / 'Données brutes'!O$15</f>
        <v>-0.98826070798504695</v>
      </c>
      <c r="G53">
        <f>('crimesUSA'!K51-'Données brutes'!P$13) / 'Données brutes'!P$15</f>
        <v>0.42615267999032819</v>
      </c>
      <c r="H53">
        <f>('crimesUSA'!L51-'Données brutes'!Q$13) / 'Données brutes'!Q$15</f>
        <v>-1.5930252623899337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B434-2FAC-44D8-AEE3-51EFF00D25A4}">
  <dimension ref="A2:H81"/>
  <sheetViews>
    <sheetView topLeftCell="A52" workbookViewId="0">
      <selection activeCell="B70" sqref="B70"/>
    </sheetView>
  </sheetViews>
  <sheetFormatPr baseColWidth="10" defaultRowHeight="14.4"/>
  <cols>
    <col min="1" max="1" width="57.109375" bestFit="1" customWidth="1"/>
    <col min="2" max="2" width="13.5546875" bestFit="1" customWidth="1"/>
    <col min="3" max="5" width="12" bestFit="1" customWidth="1"/>
    <col min="6" max="6" width="12.6640625" bestFit="1" customWidth="1"/>
    <col min="7" max="7" width="10.6640625" bestFit="1" customWidth="1"/>
    <col min="8" max="8" width="20.44140625" bestFit="1" customWidth="1"/>
  </cols>
  <sheetData>
    <row r="2" spans="1:8">
      <c r="A2" s="1" t="s">
        <v>15</v>
      </c>
    </row>
    <row r="4" spans="1:8">
      <c r="B4" s="6" t="s">
        <v>5</v>
      </c>
      <c r="C4" s="6" t="s">
        <v>39</v>
      </c>
      <c r="D4" s="6" t="s">
        <v>40</v>
      </c>
      <c r="E4" s="6" t="s">
        <v>41</v>
      </c>
      <c r="F4" s="6" t="s">
        <v>3</v>
      </c>
      <c r="G4" s="6" t="s">
        <v>4</v>
      </c>
      <c r="H4" s="6" t="s">
        <v>42</v>
      </c>
    </row>
    <row r="5" spans="1:8">
      <c r="A5" s="6" t="s">
        <v>5</v>
      </c>
      <c r="B5" s="11">
        <f>_xlfn.COVARIANCE.P('Centrées-réduites'!$B4:$B53,'Centrées-réduites'!B4:B53)</f>
        <v>0.99999999999999911</v>
      </c>
      <c r="C5" s="11">
        <f>_xlfn.COVARIANCE.P('Centrées-réduites'!$B4:$B53,'Centrées-réduites'!C4:C53)</f>
        <v>0.73842458429983338</v>
      </c>
      <c r="D5" s="11">
        <f>_xlfn.COVARIANCE.P('Centrées-réduites'!$B4:$B53,'Centrées-réduites'!D4:D53)</f>
        <v>0.70241112023696228</v>
      </c>
      <c r="E5" s="11">
        <f>_xlfn.COVARIANCE.P('Centrées-réduites'!$B4:$B53,'Centrées-réduites'!E4:E53)</f>
        <v>0.67866368993765147</v>
      </c>
      <c r="F5" s="11">
        <f>_xlfn.COVARIANCE.P('Centrées-réduites'!$B4:$B53,'Centrées-réduites'!F4:F53)</f>
        <v>0.70519679287989134</v>
      </c>
      <c r="G5" s="11">
        <f>_xlfn.COVARIANCE.P('Centrées-réduites'!$B4:$B53,'Centrées-réduites'!G4:G53)</f>
        <v>0.30218417962756083</v>
      </c>
      <c r="H5" s="11">
        <f>_xlfn.COVARIANCE.P('Centrées-réduites'!$B4:$B53,'Centrées-réduites'!H4:H53)</f>
        <v>0.38768638591907661</v>
      </c>
    </row>
    <row r="6" spans="1:8">
      <c r="A6" s="6" t="s">
        <v>39</v>
      </c>
      <c r="B6" s="11">
        <f>_xlfn.COVARIANCE.P('Centrées-réduites'!$C4:$C53,'Centrées-réduites'!B4:B53)</f>
        <v>0.73842458429983338</v>
      </c>
      <c r="C6" s="11">
        <f>_xlfn.COVARIANCE.P('Centrées-réduites'!$C4:$C53,'Centrées-réduites'!C4:C53)</f>
        <v>0.99999999999999456</v>
      </c>
      <c r="D6" s="11">
        <f>_xlfn.COVARIANCE.P('Centrées-réduites'!$C4:$C53,'Centrées-réduites'!D4:D53)</f>
        <v>0.77842450884475367</v>
      </c>
      <c r="E6" s="11">
        <f>_xlfn.COVARIANCE.P('Centrées-réduites'!$C4:$C53,'Centrées-réduites'!E4:E53)</f>
        <v>0.61449068818191166</v>
      </c>
      <c r="F6" s="11">
        <f>_xlfn.COVARIANCE.P('Centrées-réduites'!$C4:$C53,'Centrées-réduites'!F4:F53)</f>
        <v>0.58813154102099197</v>
      </c>
      <c r="G6" s="11">
        <f>_xlfn.COVARIANCE.P('Centrées-réduites'!$C4:$C53,'Centrées-réduites'!G4:G53)</f>
        <v>0.34195389919578595</v>
      </c>
      <c r="H6" s="11">
        <f>_xlfn.COVARIANCE.P('Centrées-réduites'!$C4:$C53,'Centrées-réduites'!H4:H53)</f>
        <v>0.4621356192691739</v>
      </c>
    </row>
    <row r="7" spans="1:8">
      <c r="A7" s="6" t="s">
        <v>40</v>
      </c>
      <c r="B7" s="11">
        <f>_xlfn.COVARIANCE.P('Centrées-réduites'!$D4:$D53,'Centrées-réduites'!B4:B53)</f>
        <v>0.70241112023696228</v>
      </c>
      <c r="C7" s="11">
        <f>_xlfn.COVARIANCE.P('Centrées-réduites'!$D4:$D53,'Centrées-réduites'!C4:C53)</f>
        <v>0.77842450884475367</v>
      </c>
      <c r="D7" s="11">
        <f>_xlfn.COVARIANCE.P('Centrées-réduites'!$D4:$D53,'Centrées-réduites'!D4:D53)</f>
        <v>0.99999999999999534</v>
      </c>
      <c r="E7" s="11">
        <f>_xlfn.COVARIANCE.P('Centrées-réduites'!$D4:$D53,'Centrées-réduites'!E4:E53)</f>
        <v>0.57128580477252822</v>
      </c>
      <c r="F7" s="11">
        <f>_xlfn.COVARIANCE.P('Centrées-réduites'!$D4:$D53,'Centrées-réduites'!F4:F53)</f>
        <v>0.38844494873145147</v>
      </c>
      <c r="G7" s="11">
        <f>_xlfn.COVARIANCE.P('Centrées-réduites'!$D4:$D53,'Centrées-réduites'!G4:G53)</f>
        <v>0.4415397039164351</v>
      </c>
      <c r="H7" s="11">
        <f>_xlfn.COVARIANCE.P('Centrées-réduites'!$D4:$D53,'Centrées-réduites'!H4:H53)</f>
        <v>0.48333232750728716</v>
      </c>
    </row>
    <row r="8" spans="1:8">
      <c r="A8" s="6" t="s">
        <v>41</v>
      </c>
      <c r="B8" s="11">
        <f>_xlfn.COVARIANCE.P('Centrées-réduites'!$E4:$E53,'Centrées-réduites'!B4:B53)</f>
        <v>0.67866368993765147</v>
      </c>
      <c r="C8" s="11">
        <f>_xlfn.COVARIANCE.P('Centrées-réduites'!$E4:$E53,'Centrées-réduites'!C4:C53)</f>
        <v>0.61449068818191166</v>
      </c>
      <c r="D8" s="11">
        <f>_xlfn.COVARIANCE.P('Centrées-réduites'!$E4:$E53,'Centrées-réduites'!D4:D53)</f>
        <v>0.57128580477252822</v>
      </c>
      <c r="E8" s="11">
        <f>_xlfn.COVARIANCE.P('Centrées-réduites'!$E4:$E53,'Centrées-réduites'!E4:E53)</f>
        <v>0.99999999999999967</v>
      </c>
      <c r="F8" s="11">
        <f>_xlfn.COVARIANCE.P('Centrées-réduites'!$E4:$E53,'Centrées-réduites'!F4:F53)</f>
        <v>0.65952989879499802</v>
      </c>
      <c r="G8" s="11">
        <f>_xlfn.COVARIANCE.P('Centrées-réduites'!$E4:$E53,'Centrées-réduites'!G4:G53)</f>
        <v>0.54649100041538357</v>
      </c>
      <c r="H8" s="11">
        <f>_xlfn.COVARIANCE.P('Centrées-réduites'!$E4:$E53,'Centrées-réduites'!H4:H53)</f>
        <v>0.4941400169779267</v>
      </c>
    </row>
    <row r="9" spans="1:8">
      <c r="A9" s="6" t="s">
        <v>3</v>
      </c>
      <c r="B9" s="11">
        <f>_xlfn.COVARIANCE.P('Centrées-réduites'!$F4:$F53,'Centrées-réduites'!B4:B53)</f>
        <v>0.70519679287989134</v>
      </c>
      <c r="C9" s="11">
        <f>_xlfn.COVARIANCE.P('Centrées-réduites'!$F4:$F53,'Centrées-réduites'!C4:C53)</f>
        <v>0.58813154102099197</v>
      </c>
      <c r="D9" s="11">
        <f>_xlfn.COVARIANCE.P('Centrées-réduites'!$F4:$F53,'Centrées-réduites'!D4:D53)</f>
        <v>0.38844494873145147</v>
      </c>
      <c r="E9" s="11">
        <f>_xlfn.COVARIANCE.P('Centrées-réduites'!$F4:$F53,'Centrées-réduites'!E4:E53)</f>
        <v>0.65952989879499802</v>
      </c>
      <c r="F9" s="11">
        <f>_xlfn.COVARIANCE.P('Centrées-réduites'!$F4:$F53,'Centrées-réduites'!F4:F53)</f>
        <v>0.99999999999999989</v>
      </c>
      <c r="G9" s="11">
        <f>_xlfn.COVARIANCE.P('Centrées-réduites'!$F4:$F53,'Centrées-réduites'!G4:G53)</f>
        <v>0.16790988663229364</v>
      </c>
      <c r="H9" s="11">
        <f>_xlfn.COVARIANCE.P('Centrées-réduites'!$F4:$F53,'Centrées-réduites'!H4:H53)</f>
        <v>0.58768936400092286</v>
      </c>
    </row>
    <row r="10" spans="1:8">
      <c r="A10" s="6" t="s">
        <v>4</v>
      </c>
      <c r="B10" s="11">
        <f>_xlfn.COVARIANCE.P('Centrées-réduites'!$G4:$G53,'Centrées-réduites'!B4:B53)</f>
        <v>0.30218417962756083</v>
      </c>
      <c r="C10" s="11">
        <f>_xlfn.COVARIANCE.P('Centrées-réduites'!$G4:$G53,'Centrées-réduites'!C4:C53)</f>
        <v>0.34195389919578595</v>
      </c>
      <c r="D10" s="11">
        <f>_xlfn.COVARIANCE.P('Centrées-réduites'!$G4:$G53,'Centrées-réduites'!D4:D53)</f>
        <v>0.4415397039164351</v>
      </c>
      <c r="E10" s="11">
        <f>_xlfn.COVARIANCE.P('Centrées-réduites'!$G4:$G53,'Centrées-réduites'!E4:E53)</f>
        <v>0.54649100041538357</v>
      </c>
      <c r="F10" s="11">
        <f>_xlfn.COVARIANCE.P('Centrées-réduites'!$G4:$G53,'Centrées-réduites'!F4:F53)</f>
        <v>0.16790988663229364</v>
      </c>
      <c r="G10" s="11">
        <f>_xlfn.COVARIANCE.P('Centrées-réduites'!$G4:$G53,'Centrées-réduites'!G4:G53)</f>
        <v>1.0000000000000036</v>
      </c>
      <c r="H10" s="11">
        <f>_xlfn.COVARIANCE.P('Centrées-réduites'!$G4:$G53,'Centrées-réduites'!H4:H53)</f>
        <v>7.1607330823873883E-2</v>
      </c>
    </row>
    <row r="11" spans="1:8">
      <c r="A11" s="6" t="s">
        <v>42</v>
      </c>
      <c r="B11" s="11">
        <f>_xlfn.COVARIANCE.P('Centrées-réduites'!$H4:$H53,'Centrées-réduites'!B4:B53)</f>
        <v>0.38768638591907661</v>
      </c>
      <c r="C11" s="11">
        <f>_xlfn.COVARIANCE.P('Centrées-réduites'!$H4:$H53,'Centrées-réduites'!C4:C53)</f>
        <v>0.4621356192691739</v>
      </c>
      <c r="D11" s="11">
        <f>_xlfn.COVARIANCE.P('Centrées-réduites'!$H4:$H53,'Centrées-réduites'!D4:D53)</f>
        <v>0.48333232750728716</v>
      </c>
      <c r="E11" s="11">
        <f>_xlfn.COVARIANCE.P('Centrées-réduites'!$H4:$H53,'Centrées-réduites'!E4:E53)</f>
        <v>0.4941400169779267</v>
      </c>
      <c r="F11" s="11">
        <f>_xlfn.COVARIANCE.P('Centrées-réduites'!$H4:$H53,'Centrées-réduites'!F4:F53)</f>
        <v>0.58768936400092286</v>
      </c>
      <c r="G11" s="11">
        <f>_xlfn.COVARIANCE.P('Centrées-réduites'!$H4:$H53,'Centrées-réduites'!G4:G53)</f>
        <v>7.1607330823873883E-2</v>
      </c>
      <c r="H11" s="11">
        <f>_xlfn.COVARIANCE.P('Centrées-réduites'!$H4:$H53,'Centrées-réduites'!H4:H53)</f>
        <v>0.99999999999999933</v>
      </c>
    </row>
    <row r="13" spans="1:8">
      <c r="A13" s="1" t="s">
        <v>16</v>
      </c>
      <c r="E13" s="21">
        <f>7</f>
        <v>7</v>
      </c>
    </row>
    <row r="17" spans="1:6">
      <c r="B17" s="6" t="s">
        <v>18</v>
      </c>
    </row>
    <row r="18" spans="1:6">
      <c r="A18" t="s">
        <v>48</v>
      </c>
      <c r="B18" s="7">
        <f>SQRT(SUMSQ('Centrées-réduites'!B4:H4))</f>
        <v>6.7767531982695735</v>
      </c>
    </row>
    <row r="19" spans="1:6">
      <c r="A19" t="s">
        <v>49</v>
      </c>
      <c r="B19" s="7">
        <f>SQRT(SUMSQ('Centrées-réduites'!B5:H5))</f>
        <v>2.3178169665575652</v>
      </c>
    </row>
    <row r="20" spans="1:6">
      <c r="A20" t="s">
        <v>50</v>
      </c>
      <c r="B20" s="7">
        <f>SQRT(SUMSQ('Centrées-réduites'!B6:H6))</f>
        <v>3.4207994278014935</v>
      </c>
    </row>
    <row r="21" spans="1:6">
      <c r="A21" t="s">
        <v>51</v>
      </c>
      <c r="B21" s="7">
        <f>SQRT(SUMSQ('Centrées-réduites'!B7:H7))</f>
        <v>1.3027612154101471</v>
      </c>
      <c r="E21" s="22"/>
      <c r="F21" s="22"/>
    </row>
    <row r="22" spans="1:6">
      <c r="A22" t="s">
        <v>52</v>
      </c>
      <c r="B22" s="7">
        <f>SQRT(SUMSQ('Centrées-réduites'!B8:H8))</f>
        <v>2.7353434965960659</v>
      </c>
      <c r="E22" s="22"/>
      <c r="F22" s="23"/>
    </row>
    <row r="23" spans="1:6">
      <c r="A23" t="s">
        <v>53</v>
      </c>
      <c r="B23" s="7">
        <f>SQRT(SUMSQ('Centrées-réduites'!B9:H9))</f>
        <v>2.2576500685694474</v>
      </c>
      <c r="E23" s="22"/>
      <c r="F23" s="23"/>
    </row>
    <row r="24" spans="1:6">
      <c r="A24" t="s">
        <v>54</v>
      </c>
      <c r="B24" s="7">
        <f>SQRT(SUMSQ('Centrées-réduites'!B10:H10))</f>
        <v>2.6557346896023666</v>
      </c>
      <c r="E24" s="22"/>
      <c r="F24" s="23"/>
    </row>
    <row r="25" spans="1:6">
      <c r="A25" t="s">
        <v>55</v>
      </c>
      <c r="B25" s="7">
        <f>SQRT(SUMSQ('Centrées-réduites'!B11:H11))</f>
        <v>1.4132558883508461</v>
      </c>
      <c r="E25" s="22"/>
      <c r="F25" s="23"/>
    </row>
    <row r="26" spans="1:6">
      <c r="A26" t="s">
        <v>56</v>
      </c>
      <c r="B26" s="7">
        <f>SQRT(SUMSQ('Centrées-réduites'!B12:H12))</f>
        <v>0.8621705455166867</v>
      </c>
      <c r="E26" s="22"/>
      <c r="F26" s="23"/>
    </row>
    <row r="27" spans="1:6">
      <c r="A27" t="s">
        <v>57</v>
      </c>
      <c r="B27" s="7">
        <f>SQRT(SUMSQ('Centrées-réduites'!B13:H13))</f>
        <v>1.4197101699106158</v>
      </c>
      <c r="E27" s="22"/>
      <c r="F27" s="23"/>
    </row>
    <row r="28" spans="1:6">
      <c r="A28" t="s">
        <v>58</v>
      </c>
      <c r="B28" s="7">
        <f>SQRT(SUMSQ('Centrées-réduites'!B14:H14))</f>
        <v>2.5541168605310407</v>
      </c>
      <c r="E28" s="22"/>
      <c r="F28" s="23"/>
    </row>
    <row r="29" spans="1:6">
      <c r="A29" t="s">
        <v>59</v>
      </c>
      <c r="B29" s="7">
        <f>SQRT(SUMSQ('Centrées-réduites'!B15:H15))</f>
        <v>2.0150855171278672</v>
      </c>
      <c r="E29" s="24"/>
      <c r="F29" s="24"/>
    </row>
    <row r="30" spans="1:6">
      <c r="A30" t="s">
        <v>60</v>
      </c>
      <c r="B30" s="7">
        <f>SQRT(SUMSQ('Centrées-réduites'!B16:H16))</f>
        <v>3.1523040931711579</v>
      </c>
    </row>
    <row r="31" spans="1:6">
      <c r="A31" t="s">
        <v>61</v>
      </c>
      <c r="B31" s="7">
        <f>SQRT(SUMSQ('Centrées-réduites'!B17:H17))</f>
        <v>1.6047563628332668</v>
      </c>
    </row>
    <row r="32" spans="1:6">
      <c r="A32" t="s">
        <v>62</v>
      </c>
      <c r="B32" s="7">
        <f>SQRT(SUMSQ('Centrées-réduites'!B18:H18))</f>
        <v>0.88085520865776012</v>
      </c>
    </row>
    <row r="33" spans="1:2">
      <c r="A33" t="s">
        <v>63</v>
      </c>
      <c r="B33" s="7">
        <f>SQRT(SUMSQ('Centrées-réduites'!B19:H19))</f>
        <v>1.1072046272831009</v>
      </c>
    </row>
    <row r="34" spans="1:2">
      <c r="A34" t="s">
        <v>64</v>
      </c>
      <c r="B34" s="7">
        <f>SQRT(SUMSQ('Centrées-réduites'!B20:H20))</f>
        <v>1.4209061582118518</v>
      </c>
    </row>
    <row r="35" spans="1:2">
      <c r="A35" t="s">
        <v>65</v>
      </c>
      <c r="B35" s="7">
        <f>SQRT(SUMSQ('Centrées-réduites'!B21:H21))</f>
        <v>4.1245222282051683</v>
      </c>
    </row>
    <row r="36" spans="1:2">
      <c r="A36" t="s">
        <v>66</v>
      </c>
      <c r="B36" s="7">
        <f>SQRT(SUMSQ('Centrées-réduites'!B22:H22))</f>
        <v>2.7868030654747251</v>
      </c>
    </row>
    <row r="37" spans="1:2">
      <c r="A37" t="s">
        <v>67</v>
      </c>
      <c r="B37" s="7">
        <f>SQRT(SUMSQ('Centrées-réduites'!B23:H23))</f>
        <v>3.3864364055984257</v>
      </c>
    </row>
    <row r="38" spans="1:2">
      <c r="A38" t="s">
        <v>68</v>
      </c>
      <c r="B38" s="7">
        <f>SQRT(SUMSQ('Centrées-réduites'!B24:H24))</f>
        <v>3.5945479293935652</v>
      </c>
    </row>
    <row r="39" spans="1:2">
      <c r="A39" t="s">
        <v>69</v>
      </c>
      <c r="B39" s="7">
        <f>SQRT(SUMSQ('Centrées-réduites'!B25:H25))</f>
        <v>1.9012580755060391</v>
      </c>
    </row>
    <row r="40" spans="1:2">
      <c r="A40" t="s">
        <v>70</v>
      </c>
      <c r="B40" s="7">
        <f>SQRT(SUMSQ('Centrées-réduites'!B26:H26))</f>
        <v>1.5324389571836909</v>
      </c>
    </row>
    <row r="41" spans="1:2">
      <c r="A41" t="s">
        <v>71</v>
      </c>
      <c r="B41" s="7">
        <f>SQRT(SUMSQ('Centrées-réduites'!B27:H27))</f>
        <v>2.6733482469439873</v>
      </c>
    </row>
    <row r="42" spans="1:2">
      <c r="A42" t="s">
        <v>72</v>
      </c>
      <c r="B42" s="7">
        <f>SQRT(SUMSQ('Centrées-réduites'!B28:H28))</f>
        <v>3.4200664539392953</v>
      </c>
    </row>
    <row r="43" spans="1:2">
      <c r="A43" t="s">
        <v>73</v>
      </c>
      <c r="B43" s="7">
        <f>SQRT(SUMSQ('Centrées-réduites'!B29:H29))</f>
        <v>1.9508654728519461</v>
      </c>
    </row>
    <row r="44" spans="1:2">
      <c r="A44" t="s">
        <v>74</v>
      </c>
      <c r="B44" s="7">
        <f>SQRT(SUMSQ('Centrées-réduites'!B30:H30))</f>
        <v>1.6839383575935012</v>
      </c>
    </row>
    <row r="45" spans="1:2">
      <c r="A45" t="s">
        <v>75</v>
      </c>
      <c r="B45" s="7">
        <f>SQRT(SUMSQ('Centrées-réduites'!B31:H31))</f>
        <v>1.5876381230899792</v>
      </c>
    </row>
    <row r="46" spans="1:2">
      <c r="A46" t="s">
        <v>76</v>
      </c>
      <c r="B46" s="7">
        <f>SQRT(SUMSQ('Centrées-réduites'!B32:H32))</f>
        <v>1.7611236771033998</v>
      </c>
    </row>
    <row r="47" spans="1:2">
      <c r="A47" t="s">
        <v>77</v>
      </c>
      <c r="B47" s="7">
        <f>SQRT(SUMSQ('Centrées-réduites'!B33:H33))</f>
        <v>3.3506248885678249</v>
      </c>
    </row>
    <row r="48" spans="1:2">
      <c r="A48" t="s">
        <v>78</v>
      </c>
      <c r="B48" s="7">
        <f>SQRT(SUMSQ('Centrées-réduites'!B34:H34))</f>
        <v>2.8875907780417247</v>
      </c>
    </row>
    <row r="49" spans="1:2">
      <c r="A49" t="s">
        <v>79</v>
      </c>
      <c r="B49" s="7">
        <f>SQRT(SUMSQ('Centrées-réduites'!B35:H35))</f>
        <v>5.3829535640268782</v>
      </c>
    </row>
    <row r="50" spans="1:2">
      <c r="A50" t="s">
        <v>80</v>
      </c>
      <c r="B50" s="7">
        <f>SQRT(SUMSQ('Centrées-réduites'!B36:H36))</f>
        <v>2.7030148395160429</v>
      </c>
    </row>
    <row r="51" spans="1:2">
      <c r="A51" t="s">
        <v>81</v>
      </c>
      <c r="B51" s="7">
        <f>SQRT(SUMSQ('Centrées-réduites'!B37:H37))</f>
        <v>2.7335613353356414</v>
      </c>
    </row>
    <row r="52" spans="1:2">
      <c r="A52" t="s">
        <v>82</v>
      </c>
      <c r="B52" s="7">
        <f>SQRT(SUMSQ('Centrées-réduites'!B38:H38))</f>
        <v>1.0282144217104465</v>
      </c>
    </row>
    <row r="53" spans="1:2">
      <c r="A53" t="s">
        <v>83</v>
      </c>
      <c r="B53" s="7">
        <f>SQRT(SUMSQ('Centrées-réduites'!B39:H39))</f>
        <v>2.9495569280658329</v>
      </c>
    </row>
    <row r="54" spans="1:2">
      <c r="A54" t="s">
        <v>84</v>
      </c>
      <c r="B54" s="7">
        <f>SQRT(SUMSQ('Centrées-réduites'!B40:H40))</f>
        <v>2.269818718516583</v>
      </c>
    </row>
    <row r="55" spans="1:2">
      <c r="A55" t="s">
        <v>85</v>
      </c>
      <c r="B55" s="7">
        <f>SQRT(SUMSQ('Centrées-réduites'!B41:H41))</f>
        <v>2.2484765608913153</v>
      </c>
    </row>
    <row r="56" spans="1:2">
      <c r="A56" t="s">
        <v>86</v>
      </c>
      <c r="B56" s="7">
        <f>SQRT(SUMSQ('Centrées-réduites'!B42:H42))</f>
        <v>2.2050780832298966</v>
      </c>
    </row>
    <row r="57" spans="1:2">
      <c r="A57" t="s">
        <v>87</v>
      </c>
      <c r="B57" s="7">
        <f>SQRT(SUMSQ('Centrées-réduites'!B43:H43))</f>
        <v>2.9922312816734107</v>
      </c>
    </row>
    <row r="58" spans="1:2">
      <c r="A58" t="s">
        <v>88</v>
      </c>
      <c r="B58" s="7">
        <f>SQRT(SUMSQ('Centrées-réduites'!B44:H44))</f>
        <v>2.3014770679364456</v>
      </c>
    </row>
    <row r="59" spans="1:2">
      <c r="A59" t="s">
        <v>89</v>
      </c>
      <c r="B59" s="7">
        <f>SQRT(SUMSQ('Centrées-réduites'!B45:H45))</f>
        <v>2.6261229204391556</v>
      </c>
    </row>
    <row r="60" spans="1:2">
      <c r="A60" t="s">
        <v>90</v>
      </c>
      <c r="B60" s="7">
        <f>SQRT(SUMSQ('Centrées-réduites'!B46:H46))</f>
        <v>1.4562204193201169</v>
      </c>
    </row>
    <row r="61" spans="1:2">
      <c r="A61" t="s">
        <v>91</v>
      </c>
      <c r="B61" s="7">
        <f>SQRT(SUMSQ('Centrées-réduites'!B47:H47))</f>
        <v>1.7851148409580886</v>
      </c>
    </row>
    <row r="62" spans="1:2">
      <c r="A62" t="s">
        <v>92</v>
      </c>
      <c r="B62" s="7">
        <f>SQRT(SUMSQ('Centrées-réduites'!B48:H48))</f>
        <v>2.2215605545030592</v>
      </c>
    </row>
    <row r="63" spans="1:2">
      <c r="A63" t="s">
        <v>93</v>
      </c>
      <c r="B63" s="7">
        <f>SQRT(SUMSQ('Centrées-réduites'!B49:H49))</f>
        <v>3.1098191221567886</v>
      </c>
    </row>
    <row r="64" spans="1:2">
      <c r="A64" t="s">
        <v>94</v>
      </c>
      <c r="B64" s="7">
        <f>SQRT(SUMSQ('Centrées-réduites'!B50:H50))</f>
        <v>1.9954876925918328</v>
      </c>
    </row>
    <row r="65" spans="1:5">
      <c r="A65" t="s">
        <v>95</v>
      </c>
      <c r="B65" s="7">
        <f>SQRT(SUMSQ('Centrées-réduites'!B51:H51))</f>
        <v>1.97257589702897</v>
      </c>
    </row>
    <row r="66" spans="1:5">
      <c r="A66" t="s">
        <v>96</v>
      </c>
      <c r="B66" s="7">
        <f>SQRT(SUMSQ('Centrées-réduites'!B52:H52))</f>
        <v>1.942376636335601</v>
      </c>
    </row>
    <row r="67" spans="1:5">
      <c r="A67" t="s">
        <v>97</v>
      </c>
      <c r="B67" s="7">
        <f>SQRT(SUMSQ('Centrées-réduites'!B53:H53))</f>
        <v>2.590122253012999</v>
      </c>
    </row>
    <row r="70" spans="1:5">
      <c r="A70" t="s">
        <v>19</v>
      </c>
      <c r="B70" s="8">
        <f>SUMSQ(B18:B67)/COUNT(B17:B67)</f>
        <v>6.9999999999999911</v>
      </c>
    </row>
    <row r="74" spans="1:5">
      <c r="A74" s="6" t="s">
        <v>22</v>
      </c>
      <c r="B74" cm="1">
        <f t="array" ref="B74">MMULT('Centrées-réduites'!B4:H4, E75:E81)</f>
        <v>5.2780001886719372</v>
      </c>
    </row>
    <row r="75" spans="1:5">
      <c r="E75">
        <v>0.42499999999999999</v>
      </c>
    </row>
    <row r="76" spans="1:5">
      <c r="A76" s="13" t="s">
        <v>23</v>
      </c>
      <c r="E76">
        <v>0.42299999999999999</v>
      </c>
    </row>
    <row r="77" spans="1:5">
      <c r="A77" s="13" t="s">
        <v>24</v>
      </c>
      <c r="E77">
        <v>0.40300000000000002</v>
      </c>
    </row>
    <row r="78" spans="1:5">
      <c r="A78" s="13" t="s">
        <v>25</v>
      </c>
      <c r="E78">
        <v>0.41699999999999998</v>
      </c>
    </row>
    <row r="79" spans="1:5">
      <c r="A79" s="13" t="s">
        <v>26</v>
      </c>
      <c r="E79">
        <v>0.38200000000000001</v>
      </c>
    </row>
    <row r="80" spans="1:5">
      <c r="E80">
        <v>0.24199999999999999</v>
      </c>
    </row>
    <row r="81" spans="5:5">
      <c r="E81">
        <v>0.317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BA9189-B051-4DCE-BA96-41EF6A29CB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crimesUSA</vt:lpstr>
      <vt:lpstr>Données brutes</vt:lpstr>
      <vt:lpstr>Centrées-réduites</vt:lpstr>
      <vt:lpstr>Calculs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kermorva</dc:creator>
  <cp:lastModifiedBy>Maxence Abric--Segarra</cp:lastModifiedBy>
  <dcterms:created xsi:type="dcterms:W3CDTF">2023-01-11T16:21:26Z</dcterms:created>
  <dcterms:modified xsi:type="dcterms:W3CDTF">2026-02-07T16:00:40Z</dcterms:modified>
</cp:coreProperties>
</file>
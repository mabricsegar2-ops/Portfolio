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mabri\OneDrive\Bureau\PORTFOLIO - Copie\docs\2.05\"/>
    </mc:Choice>
  </mc:AlternateContent>
  <xr:revisionPtr revIDLastSave="0" documentId="8_{C9A40893-1751-4C99-A1A9-F4E67AABE7D6}" xr6:coauthVersionLast="47" xr6:coauthVersionMax="47" xr10:uidLastSave="{00000000-0000-0000-0000-000000000000}"/>
  <bookViews>
    <workbookView xWindow="5604" yWindow="3360" windowWidth="17280" windowHeight="8880" tabRatio="632" xr2:uid="{00000000-000D-0000-FFFF-FFFF00000000}"/>
  </bookViews>
  <sheets>
    <sheet name="Décisions" sheetId="10" r:id="rId1"/>
    <sheet name="Validation décisions" sheetId="11" r:id="rId2"/>
    <sheet name=" Compte de Résultats" sheetId="6" r:id="rId3"/>
    <sheet name="Bilan" sheetId="7" r:id="rId4"/>
    <sheet name="Emprunts" sheetId="12" r:id="rId5"/>
    <sheet name="Marge nette d'expl. " sheetId="14" r:id="rId6"/>
    <sheet name="Paramètres" sheetId="9" r:id="rId7"/>
  </sheets>
  <definedNames>
    <definedName name="amort_stat_restantes">'Validation décisions'!$Z$38</definedName>
    <definedName name="an">Décisions!$I$2</definedName>
    <definedName name="an_debut">Paramètres!$E$30:$F$35</definedName>
    <definedName name="capac_station">Paramètres!$B$21</definedName>
    <definedName name="capac_tot_stations">'Validation décisions'!$Z$43</definedName>
    <definedName name="cout_comp">Paramètres!$F$3:$K$4</definedName>
    <definedName name="déc_offre">Décisions!$B$6:$F$11</definedName>
    <definedName name="durée_amort">Paramètres!$B$20</definedName>
    <definedName name="liste_niveau">Paramètres!$E$7:$E$10</definedName>
    <definedName name="liste_temps">Paramètres!$E$20:$E$23</definedName>
    <definedName name="Max_com_ext">Paramètres!$C$59</definedName>
    <definedName name="Max_com_int">Paramètres!$C$58</definedName>
    <definedName name="Max_form_A">Paramètres!$C$57</definedName>
    <definedName name="Max_form_T" localSheetId="5">Paramètres!#REF!</definedName>
    <definedName name="Max_form_T">Paramètres!#REF!</definedName>
    <definedName name="Max_ind_Cons">Paramètres!$C$56</definedName>
    <definedName name="Max_ind_Tech">Paramètres!$C$55</definedName>
    <definedName name="Min_ind_Cons">Paramètres!$B$56</definedName>
    <definedName name="Min_ind_Tech">Paramètres!$B$55</definedName>
    <definedName name="Px_achat_station">Paramètres!$B$18</definedName>
    <definedName name="Px_cession_station">Paramètres!$B$19</definedName>
    <definedName name="tab_niveau">Paramètres!$E$6:$K$10</definedName>
    <definedName name="tab_temps">Paramètres!$E$19:$K$23</definedName>
    <definedName name="tab_usure">Paramètres!$E$40:$F$49</definedName>
    <definedName name="val_nette_stat_cedees">'Validation décisions'!$Z$47</definedName>
    <definedName name="_xlnm.Print_Area" localSheetId="2">' Compte de Résultats'!$A$5:$H$32</definedName>
    <definedName name="_xlnm.Print_Area" localSheetId="3">Bilan!$A$1:$B$27</definedName>
    <definedName name="_xlnm.Print_Area" localSheetId="6">Paramètres!$A$1:$K$56</definedName>
  </definedNames>
  <calcPr calcId="191028" calcOnSave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4" i="9" l="1"/>
  <c r="B35" i="9"/>
  <c r="J33" i="14"/>
  <c r="Y35" i="11"/>
  <c r="X35" i="11"/>
  <c r="W35" i="11"/>
  <c r="V35" i="11"/>
  <c r="U35" i="11"/>
  <c r="T35" i="11"/>
  <c r="S35" i="11"/>
  <c r="R35" i="11"/>
  <c r="Q35" i="11"/>
  <c r="Y34" i="11"/>
  <c r="X34" i="11"/>
  <c r="W34" i="11"/>
  <c r="V34" i="11"/>
  <c r="U34" i="11"/>
  <c r="T34" i="11"/>
  <c r="S34" i="11"/>
  <c r="R34" i="11"/>
  <c r="Q34" i="11"/>
  <c r="B27" i="6"/>
  <c r="G10" i="10"/>
  <c r="G11" i="10"/>
  <c r="G7" i="10" l="1"/>
  <c r="G8" i="10"/>
  <c r="G9" i="10"/>
  <c r="G6" i="10"/>
  <c r="H8" i="10" l="1"/>
  <c r="K20" i="11"/>
  <c r="J20" i="11"/>
  <c r="F40" i="9"/>
  <c r="F41" i="9"/>
  <c r="F42" i="9"/>
  <c r="F43" i="9"/>
  <c r="F44" i="9"/>
  <c r="Y38" i="11"/>
  <c r="X47" i="11"/>
  <c r="Y47" i="11"/>
  <c r="X45" i="11"/>
  <c r="Y45" i="11"/>
  <c r="X46" i="11"/>
  <c r="Y46" i="11"/>
  <c r="Y44" i="11"/>
  <c r="Z44" i="11"/>
  <c r="Y43" i="11"/>
  <c r="R36" i="11"/>
  <c r="R44" i="11" s="1"/>
  <c r="S36" i="11"/>
  <c r="S44" i="11" s="1"/>
  <c r="T36" i="11"/>
  <c r="T44" i="11" s="1"/>
  <c r="U36" i="11"/>
  <c r="V36" i="11"/>
  <c r="V44" i="11" s="1"/>
  <c r="W36" i="11"/>
  <c r="W44" i="11" s="1"/>
  <c r="X36" i="11"/>
  <c r="Y36" i="11"/>
  <c r="Z36" i="11"/>
  <c r="Q36" i="11"/>
  <c r="Q44" i="11" s="1"/>
  <c r="X42" i="11"/>
  <c r="Y42" i="11"/>
  <c r="Z42" i="11"/>
  <c r="Q42" i="11"/>
  <c r="S42" i="11"/>
  <c r="U42" i="11"/>
  <c r="W42" i="11"/>
  <c r="O32" i="10"/>
  <c r="P33" i="11"/>
  <c r="P32" i="11"/>
  <c r="H32" i="10"/>
  <c r="N32" i="10"/>
  <c r="J7" i="11" a="1"/>
  <c r="M7" i="11" s="1"/>
  <c r="J6" i="11" a="1"/>
  <c r="J6" i="11" s="1"/>
  <c r="J5" i="11" a="1"/>
  <c r="K5" i="11" s="1"/>
  <c r="J4" i="11" a="1"/>
  <c r="J4" i="11" s="1"/>
  <c r="J8" i="11" a="1"/>
  <c r="M8" i="11" s="1"/>
  <c r="J27" i="11"/>
  <c r="K27" i="11" s="1"/>
  <c r="J26" i="11"/>
  <c r="K26" i="11" s="1"/>
  <c r="J24" i="11"/>
  <c r="K24" i="11" s="1"/>
  <c r="J23" i="11"/>
  <c r="K23" i="11" s="1"/>
  <c r="D8" i="7"/>
  <c r="D2" i="7"/>
  <c r="E1" i="7"/>
  <c r="C1" i="7"/>
  <c r="B25" i="6"/>
  <c r="J32" i="14"/>
  <c r="J20" i="14"/>
  <c r="J13" i="14"/>
  <c r="H1" i="14"/>
  <c r="E1" i="14"/>
  <c r="C1" i="14"/>
  <c r="E1" i="6"/>
  <c r="C1" i="6"/>
  <c r="B3" i="12"/>
  <c r="B9" i="12" s="1"/>
  <c r="E4" i="12"/>
  <c r="E3" i="12"/>
  <c r="D7" i="7"/>
  <c r="B13" i="7"/>
  <c r="B35" i="11"/>
  <c r="B24" i="6" s="1"/>
  <c r="K17" i="11"/>
  <c r="K18" i="11"/>
  <c r="K19" i="11"/>
  <c r="K16" i="11"/>
  <c r="K14" i="11"/>
  <c r="K15" i="11"/>
  <c r="K13" i="11"/>
  <c r="K11" i="11"/>
  <c r="K12" i="11"/>
  <c r="K10" i="11"/>
  <c r="J11" i="11"/>
  <c r="J12" i="11"/>
  <c r="J13" i="11"/>
  <c r="J14" i="11"/>
  <c r="J15" i="11"/>
  <c r="J16" i="11"/>
  <c r="J17" i="11"/>
  <c r="J18" i="11"/>
  <c r="J19" i="11"/>
  <c r="J10" i="11"/>
  <c r="B14" i="6"/>
  <c r="B7" i="6"/>
  <c r="H1" i="6"/>
  <c r="B26" i="11"/>
  <c r="B28" i="11" s="1"/>
  <c r="B20" i="11"/>
  <c r="C20" i="11" s="1"/>
  <c r="B21" i="11"/>
  <c r="C21" i="11" s="1"/>
  <c r="B22" i="11"/>
  <c r="C22" i="11" s="1"/>
  <c r="B23" i="11"/>
  <c r="C23" i="11" s="1"/>
  <c r="B24" i="11"/>
  <c r="C24" i="11" s="1"/>
  <c r="B19" i="11"/>
  <c r="C19" i="11" s="1"/>
  <c r="B14" i="11"/>
  <c r="B16" i="11" s="1"/>
  <c r="B13" i="11"/>
  <c r="B7" i="11"/>
  <c r="C7" i="11" s="1"/>
  <c r="D7" i="11" s="1"/>
  <c r="B8" i="11"/>
  <c r="C8" i="11" s="1"/>
  <c r="D8" i="11" s="1"/>
  <c r="B9" i="11"/>
  <c r="C9" i="11" s="1"/>
  <c r="D9" i="11" s="1"/>
  <c r="B10" i="11"/>
  <c r="C10" i="11" s="1"/>
  <c r="D10" i="11" s="1"/>
  <c r="B11" i="11"/>
  <c r="C11" i="11" s="1"/>
  <c r="D11" i="11" s="1"/>
  <c r="B6" i="11"/>
  <c r="C6" i="11"/>
  <c r="D6" i="11" s="1"/>
  <c r="A3" i="11"/>
  <c r="X44" i="11"/>
  <c r="V42" i="11"/>
  <c r="T42" i="11"/>
  <c r="R42" i="11"/>
  <c r="Z45" i="11"/>
  <c r="B32" i="11" s="1"/>
  <c r="W45" i="11"/>
  <c r="W47" i="11"/>
  <c r="X43" i="11"/>
  <c r="X38" i="11"/>
  <c r="W46" i="11"/>
  <c r="U44" i="11" l="1"/>
  <c r="D9" i="12"/>
  <c r="B26" i="6"/>
  <c r="B15" i="6"/>
  <c r="J34" i="14" s="1"/>
  <c r="J35" i="14" s="1"/>
  <c r="N7" i="11"/>
  <c r="O6" i="14" s="1"/>
  <c r="O7" i="11"/>
  <c r="P6" i="14" s="1"/>
  <c r="L7" i="11"/>
  <c r="M6" i="14" s="1"/>
  <c r="K7" i="11"/>
  <c r="L6" i="14" s="1"/>
  <c r="M6" i="11"/>
  <c r="N6" i="11"/>
  <c r="N5" i="11"/>
  <c r="M5" i="11"/>
  <c r="F10" i="6" s="1"/>
  <c r="L5" i="11"/>
  <c r="O5" i="11"/>
  <c r="L8" i="11"/>
  <c r="N8" i="11"/>
  <c r="O8" i="11"/>
  <c r="Z34" i="11"/>
  <c r="Z35" i="11"/>
  <c r="AA44" i="11" s="1"/>
  <c r="B19" i="6"/>
  <c r="J12" i="14" s="1"/>
  <c r="J14" i="14" s="1"/>
  <c r="B15" i="11"/>
  <c r="D13" i="11" s="1"/>
  <c r="N4" i="11"/>
  <c r="K4" i="11"/>
  <c r="C6" i="14" s="1"/>
  <c r="O4" i="11"/>
  <c r="G6" i="14" s="1"/>
  <c r="M4" i="11"/>
  <c r="E6" i="14" s="1"/>
  <c r="L4" i="11"/>
  <c r="D6" i="14" s="1"/>
  <c r="K28" i="11"/>
  <c r="D14" i="11"/>
  <c r="J8" i="11"/>
  <c r="C25" i="11"/>
  <c r="N6" i="14"/>
  <c r="D10" i="6"/>
  <c r="D35" i="11"/>
  <c r="B27" i="11"/>
  <c r="B6" i="12"/>
  <c r="O6" i="11"/>
  <c r="J7" i="11"/>
  <c r="B18" i="6"/>
  <c r="B6" i="14"/>
  <c r="K8" i="11"/>
  <c r="L6" i="11"/>
  <c r="J5" i="11"/>
  <c r="K6" i="11"/>
  <c r="E8" i="14" l="1"/>
  <c r="H10" i="6"/>
  <c r="D32" i="11"/>
  <c r="G10" i="6"/>
  <c r="P17" i="14"/>
  <c r="H6" i="6"/>
  <c r="H8" i="6" s="1"/>
  <c r="E9" i="14"/>
  <c r="F6" i="6"/>
  <c r="F8" i="6" s="1"/>
  <c r="D26" i="11"/>
  <c r="M17" i="14"/>
  <c r="E6" i="6"/>
  <c r="E8" i="6" s="1"/>
  <c r="E10" i="6"/>
  <c r="D27" i="11"/>
  <c r="P8" i="11"/>
  <c r="B13" i="6" s="1"/>
  <c r="Q37" i="11"/>
  <c r="Q40" i="11" s="1"/>
  <c r="Q41" i="11" s="1"/>
  <c r="Q45" i="11" s="1"/>
  <c r="Q39" i="11"/>
  <c r="R39" i="11" s="1"/>
  <c r="C8" i="14"/>
  <c r="D6" i="6"/>
  <c r="D8" i="6" s="1"/>
  <c r="C9" i="14"/>
  <c r="G9" i="14"/>
  <c r="P30" i="14"/>
  <c r="G8" i="14"/>
  <c r="D8" i="14"/>
  <c r="M30" i="14"/>
  <c r="F6" i="14"/>
  <c r="O30" i="14" s="1"/>
  <c r="G6" i="6"/>
  <c r="G8" i="6" s="1"/>
  <c r="D9" i="14"/>
  <c r="O17" i="14"/>
  <c r="C11" i="12"/>
  <c r="C9" i="12"/>
  <c r="E9" i="12" s="1"/>
  <c r="F9" i="12" s="1"/>
  <c r="C10" i="12"/>
  <c r="C13" i="12"/>
  <c r="C12" i="12"/>
  <c r="B8" i="14"/>
  <c r="B20" i="6"/>
  <c r="J19" i="14"/>
  <c r="J21" i="14" s="1"/>
  <c r="N30" i="14"/>
  <c r="N17" i="14"/>
  <c r="L30" i="14"/>
  <c r="L17" i="14"/>
  <c r="K6" i="14"/>
  <c r="B9" i="14" s="1"/>
  <c r="C10" i="6"/>
  <c r="C6" i="6"/>
  <c r="Q46" i="11" l="1"/>
  <c r="Q47" i="11"/>
  <c r="Q43" i="11"/>
  <c r="Q38" i="11"/>
  <c r="B10" i="6"/>
  <c r="R37" i="11"/>
  <c r="F8" i="14"/>
  <c r="F9" i="14"/>
  <c r="C8" i="6"/>
  <c r="B8" i="6" s="1"/>
  <c r="B6" i="6"/>
  <c r="J6" i="14"/>
  <c r="K30" i="14"/>
  <c r="K17" i="14"/>
  <c r="B10" i="12"/>
  <c r="D12" i="7"/>
  <c r="S37" i="11"/>
  <c r="S39" i="11"/>
  <c r="F10" i="14" l="1"/>
  <c r="G10" i="14"/>
  <c r="C10" i="14"/>
  <c r="D10" i="14"/>
  <c r="S38" i="11"/>
  <c r="S43" i="11"/>
  <c r="R40" i="11"/>
  <c r="R41" i="11" s="1"/>
  <c r="R45" i="11" s="1"/>
  <c r="R38" i="11"/>
  <c r="R43" i="11"/>
  <c r="E10" i="14"/>
  <c r="B10" i="14"/>
  <c r="J17" i="14"/>
  <c r="K18" i="14" s="1"/>
  <c r="J30" i="14"/>
  <c r="K31" i="14" s="1"/>
  <c r="M11" i="14"/>
  <c r="P11" i="14"/>
  <c r="O11" i="14"/>
  <c r="L11" i="14"/>
  <c r="N11" i="14"/>
  <c r="D10" i="12"/>
  <c r="E10" i="12" s="1"/>
  <c r="F10" i="12" s="1"/>
  <c r="B11" i="12" s="1"/>
  <c r="T39" i="11"/>
  <c r="T37" i="11"/>
  <c r="S40" i="11"/>
  <c r="K11" i="14"/>
  <c r="S41" i="11" l="1"/>
  <c r="T40" i="11"/>
  <c r="T38" i="11"/>
  <c r="T43" i="11"/>
  <c r="R47" i="11"/>
  <c r="R46" i="11"/>
  <c r="J11" i="14"/>
  <c r="D11" i="12"/>
  <c r="E11" i="12" s="1"/>
  <c r="F11" i="12" s="1"/>
  <c r="B12" i="12" s="1"/>
  <c r="K24" i="14"/>
  <c r="K21" i="14"/>
  <c r="B11" i="14" s="1"/>
  <c r="M31" i="14"/>
  <c r="M35" i="14" s="1"/>
  <c r="D13" i="14" s="1"/>
  <c r="P31" i="14"/>
  <c r="P35" i="14" s="1"/>
  <c r="G13" i="14" s="1"/>
  <c r="N31" i="14"/>
  <c r="N35" i="14" s="1"/>
  <c r="E13" i="14" s="1"/>
  <c r="O31" i="14"/>
  <c r="O35" i="14" s="1"/>
  <c r="F13" i="14" s="1"/>
  <c r="L31" i="14"/>
  <c r="L35" i="14" s="1"/>
  <c r="C13" i="14" s="1"/>
  <c r="U39" i="11"/>
  <c r="U37" i="11"/>
  <c r="K35" i="14"/>
  <c r="B13" i="14" s="1"/>
  <c r="P18" i="14"/>
  <c r="M18" i="14"/>
  <c r="N18" i="14"/>
  <c r="O18" i="14"/>
  <c r="L18" i="14"/>
  <c r="U40" i="11" l="1"/>
  <c r="U43" i="11"/>
  <c r="U38" i="11"/>
  <c r="S45" i="11"/>
  <c r="S47" i="11" s="1"/>
  <c r="T41" i="11"/>
  <c r="J18" i="14"/>
  <c r="J24" i="14" s="1"/>
  <c r="J31" i="14"/>
  <c r="D12" i="12"/>
  <c r="E12" i="12" s="1"/>
  <c r="F12" i="12" s="1"/>
  <c r="B13" i="12" s="1"/>
  <c r="L24" i="14"/>
  <c r="L21" i="14"/>
  <c r="C11" i="14" s="1"/>
  <c r="N24" i="14"/>
  <c r="N21" i="14"/>
  <c r="E11" i="14" s="1"/>
  <c r="M24" i="14"/>
  <c r="M21" i="14"/>
  <c r="D11" i="14" s="1"/>
  <c r="O24" i="14"/>
  <c r="O21" i="14"/>
  <c r="F11" i="14" s="1"/>
  <c r="V39" i="11"/>
  <c r="V37" i="11"/>
  <c r="P24" i="14"/>
  <c r="P21" i="14"/>
  <c r="G11" i="14" s="1"/>
  <c r="V40" i="11" l="1"/>
  <c r="V43" i="11"/>
  <c r="V38" i="11"/>
  <c r="U41" i="11"/>
  <c r="S46" i="11"/>
  <c r="D13" i="12"/>
  <c r="E13" i="12" s="1"/>
  <c r="F13" i="12" s="1"/>
  <c r="W39" i="11"/>
  <c r="W37" i="11"/>
  <c r="W40" i="11" l="1"/>
  <c r="W43" i="11"/>
  <c r="Z43" i="11" s="1"/>
  <c r="B31" i="11" s="1"/>
  <c r="D30" i="11" s="1"/>
  <c r="W38" i="11"/>
  <c r="Z38" i="11" s="1"/>
  <c r="B9" i="7" s="1"/>
  <c r="V41" i="11"/>
  <c r="T45" i="11"/>
  <c r="T47" i="11" s="1"/>
  <c r="X39" i="11"/>
  <c r="X37" i="11"/>
  <c r="X40" i="11" s="1"/>
  <c r="W41" i="11" l="1"/>
  <c r="X41" i="11" s="1"/>
  <c r="T46" i="11"/>
  <c r="Y37" i="11"/>
  <c r="Y39" i="11"/>
  <c r="Z39" i="11" s="1"/>
  <c r="U45" i="11" l="1"/>
  <c r="U47" i="11" s="1"/>
  <c r="Y40" i="11"/>
  <c r="Y41" i="11" s="1"/>
  <c r="Z37" i="11"/>
  <c r="U46" i="11" l="1"/>
  <c r="B30" i="11"/>
  <c r="B8" i="7"/>
  <c r="B10" i="7" s="1"/>
  <c r="B11" i="7" s="1"/>
  <c r="V45" i="11" l="1"/>
  <c r="V47" i="11" s="1"/>
  <c r="Z47" i="11" s="1"/>
  <c r="B28" i="6" s="1"/>
  <c r="B29" i="6" s="1"/>
  <c r="J6" i="7"/>
  <c r="B12" i="6"/>
  <c r="B21" i="6"/>
  <c r="V46" i="11" l="1"/>
  <c r="J26" i="14"/>
  <c r="J25" i="14"/>
  <c r="B16" i="6"/>
  <c r="B22" i="6" s="1"/>
  <c r="J27" i="14" l="1"/>
  <c r="K27" i="14" s="1"/>
  <c r="B12" i="14" s="1"/>
  <c r="B23" i="6"/>
  <c r="B30" i="6"/>
  <c r="P27" i="14" l="1"/>
  <c r="G12" i="14" s="1"/>
  <c r="O27" i="14"/>
  <c r="F12" i="14" s="1"/>
  <c r="N27" i="14"/>
  <c r="E12" i="14" s="1"/>
  <c r="E15" i="14" s="1"/>
  <c r="E26" i="14" s="1"/>
  <c r="M27" i="14"/>
  <c r="D12" i="14" s="1"/>
  <c r="L27" i="14"/>
  <c r="C12" i="14" s="1"/>
  <c r="B15" i="14"/>
  <c r="B26" i="14" s="1"/>
  <c r="B31" i="6"/>
  <c r="D13" i="7" s="1"/>
  <c r="G15" i="14" l="1"/>
  <c r="G26" i="14" s="1"/>
  <c r="F15" i="14"/>
  <c r="D15" i="14"/>
  <c r="D26" i="14" s="1"/>
  <c r="C15" i="14"/>
  <c r="C26" i="14" s="1"/>
  <c r="B22" i="14"/>
  <c r="B17" i="14"/>
  <c r="B18" i="14" s="1"/>
  <c r="B24" i="14"/>
  <c r="B27" i="14"/>
  <c r="B23" i="14"/>
  <c r="B25" i="14"/>
  <c r="E27" i="14"/>
  <c r="E17" i="14"/>
  <c r="E18" i="14" s="1"/>
  <c r="E24" i="14"/>
  <c r="E25" i="14"/>
  <c r="E23" i="14"/>
  <c r="E22" i="14"/>
  <c r="B32" i="6"/>
  <c r="D9" i="7" s="1"/>
  <c r="D10" i="7" s="1"/>
  <c r="G22" i="14" l="1"/>
  <c r="G25" i="14"/>
  <c r="G24" i="14"/>
  <c r="G17" i="14"/>
  <c r="G18" i="14" s="1"/>
  <c r="G27" i="14"/>
  <c r="G23" i="14"/>
  <c r="F27" i="14"/>
  <c r="F23" i="14"/>
  <c r="F25" i="14"/>
  <c r="F24" i="14"/>
  <c r="F17" i="14"/>
  <c r="F18" i="14" s="1"/>
  <c r="F22" i="14"/>
  <c r="F26" i="14"/>
  <c r="D17" i="14"/>
  <c r="D18" i="14" s="1"/>
  <c r="D25" i="14"/>
  <c r="D24" i="14"/>
  <c r="D23" i="14"/>
  <c r="D22" i="14"/>
  <c r="D27" i="14"/>
  <c r="C24" i="14"/>
  <c r="C17" i="14"/>
  <c r="C18" i="14" s="1"/>
  <c r="C23" i="14"/>
  <c r="C22" i="14"/>
  <c r="C25" i="14"/>
  <c r="C27" i="14"/>
  <c r="J7" i="7"/>
  <c r="B14" i="7" l="1"/>
  <c r="B15" i="7" s="1"/>
  <c r="B16" i="7" s="1"/>
  <c r="D14" i="7"/>
  <c r="D15" i="7" s="1"/>
  <c r="D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I2" authorId="0" shapeId="0" xr:uid="{00000000-0006-0000-0000-000001000000}">
      <text>
        <r>
          <rPr>
            <sz val="10"/>
            <color rgb="FF000000"/>
            <rFont val="Tahoma"/>
            <family val="2"/>
          </rPr>
          <t>A remplir pour la validation des données et le nombre de stations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F33" authorId="0" shapeId="0" xr:uid="{00000000-0006-0000-0000-000002000000}">
      <text>
        <r>
          <rPr>
            <sz val="10"/>
            <color rgb="FF000000"/>
            <rFont val="Tahoma"/>
            <family val="2"/>
          </rPr>
          <t>Nb total y compris les remplacements, aussi bien pour les achats que les ventes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37" authorId="0" shapeId="0" xr:uid="{00000000-0006-0000-0000-000003000000}">
      <text>
        <r>
          <rPr>
            <sz val="10"/>
            <color rgb="FF000000"/>
            <rFont val="Tahoma"/>
            <family val="2"/>
          </rPr>
          <t>Uniquement pour obtenir le bilan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6" authorId="0" shapeId="0" xr:uid="{00000000-0006-0000-0000-000004000000}">
      <text>
        <r>
          <rPr>
            <sz val="10"/>
            <color rgb="FF000000"/>
            <rFont val="Tahoma"/>
            <family val="2"/>
          </rPr>
          <t>Cumuler les annuités de tous les emprunts encore en cours</t>
        </r>
        <r>
          <rPr>
            <sz val="13"/>
            <color rgb="FF000000"/>
            <rFont val="Lucida Grande"/>
            <family val="2"/>
          </rPr>
          <t xml:space="preserve">
</t>
        </r>
      </text>
    </comment>
    <comment ref="A49" authorId="0" shapeId="0" xr:uid="{00000000-0006-0000-0000-000005000000}">
      <text>
        <r>
          <rPr>
            <sz val="11"/>
            <color rgb="FF000000"/>
            <rFont val="Lucida Grande"/>
            <family val="2"/>
          </rPr>
          <t xml:space="preserve">Lors du premier résultat net négatif, saisir le montant du déficit (en valeur positive);
</t>
        </r>
        <r>
          <rPr>
            <sz val="11"/>
            <color rgb="FF000000"/>
            <rFont val="Lucida Grande"/>
            <family val="2"/>
          </rPr>
          <t xml:space="preserve">Ensuite, le diminuer des résultats positifs et l'augmenter des résultats négatifs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1" authorId="0" shapeId="0" xr:uid="{00000000-0006-0000-0100-000001000000}">
      <text>
        <r>
          <rPr>
            <b/>
            <sz val="8"/>
            <color rgb="FF000000"/>
            <rFont val="Tahoma"/>
            <family val="2"/>
          </rPr>
          <t>A masquer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P44" authorId="0" shapeId="0" xr:uid="{00000000-0006-0000-0100-000002000000}">
      <text>
        <r>
          <rPr>
            <b/>
            <sz val="8"/>
            <color rgb="FF000000"/>
            <rFont val="Tahoma"/>
            <family val="2"/>
          </rPr>
          <t>Pb si le paramètre px_achat_station change en cours de jeu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AA44" authorId="0" shapeId="0" xr:uid="{00000000-0006-0000-0100-000003000000}">
      <text>
        <r>
          <rPr>
            <b/>
            <sz val="8"/>
            <color rgb="FF000000"/>
            <rFont val="Tahoma"/>
            <family val="2"/>
          </rPr>
          <t>Nb stations vendues avant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Z45" authorId="0" shapeId="0" xr:uid="{00000000-0006-0000-0100-000004000000}">
      <text>
        <r>
          <rPr>
            <b/>
            <sz val="8"/>
            <color rgb="FF000000"/>
            <rFont val="Tahoma"/>
            <family val="2"/>
          </rPr>
          <t>Nb stations vendues période en cours</t>
        </r>
        <r>
          <rPr>
            <sz val="8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B27" authorId="0" shapeId="0" xr:uid="{00000000-0006-0000-0200-000001000000}">
      <text>
        <r>
          <rPr>
            <sz val="8"/>
            <color rgb="FF000000"/>
            <rFont val="Tahoma"/>
            <family val="2"/>
          </rPr>
          <t xml:space="preserve">Px cession inchangé si station amortie ?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moisi</author>
  </authors>
  <commentList>
    <comment ref="J6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 masquer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pymazet</author>
    <author>moisi</author>
  </authors>
  <commentList>
    <comment ref="B17" authorId="0" shapeId="0" xr:uid="{3330744A-0C70-4295-884E-65ECDCEE943D}">
      <text>
        <r>
          <rPr>
            <b/>
            <sz val="9"/>
            <color indexed="81"/>
            <rFont val="Tahoma"/>
            <family val="2"/>
          </rPr>
          <t>A modifier :</t>
        </r>
        <r>
          <rPr>
            <sz val="9"/>
            <color indexed="81"/>
            <rFont val="Tahoma"/>
            <family val="2"/>
          </rPr>
          <t xml:space="preserve"> P6 2 000 €</t>
        </r>
      </text>
    </comment>
    <comment ref="B18" authorId="0" shapeId="0" xr:uid="{AFECADB3-E703-4F54-A07C-7F2BDF517951}">
      <text>
        <r>
          <rPr>
            <b/>
            <sz val="9"/>
            <color indexed="81"/>
            <rFont val="Tahoma"/>
            <family val="2"/>
          </rPr>
          <t>A modifier :</t>
        </r>
        <r>
          <rPr>
            <sz val="9"/>
            <color indexed="81"/>
            <rFont val="Tahoma"/>
            <family val="2"/>
          </rPr>
          <t xml:space="preserve"> P6 20 000 €
</t>
        </r>
      </text>
    </comment>
    <comment ref="B34" authorId="0" shapeId="0" xr:uid="{E6DD9AAD-EA7A-473F-9B08-608B588ACE56}">
      <text>
        <r>
          <rPr>
            <b/>
            <sz val="9"/>
            <color indexed="81"/>
            <rFont val="Tahoma"/>
            <charset val="1"/>
          </rPr>
          <t xml:space="preserve">A modifier : </t>
        </r>
        <r>
          <rPr>
            <sz val="9"/>
            <color indexed="81"/>
            <rFont val="Tahoma"/>
            <charset val="1"/>
          </rPr>
          <t>P5 +5%</t>
        </r>
      </text>
    </comment>
    <comment ref="B35" authorId="0" shapeId="0" xr:uid="{33E40EB6-E2EC-45E3-8E28-BFBC6B4B7720}">
      <text>
        <r>
          <rPr>
            <b/>
            <sz val="9"/>
            <color indexed="81"/>
            <rFont val="Tahoma"/>
            <family val="2"/>
          </rPr>
          <t>A modifier :</t>
        </r>
        <r>
          <rPr>
            <sz val="9"/>
            <color indexed="81"/>
            <rFont val="Tahoma"/>
            <charset val="1"/>
          </rPr>
          <t xml:space="preserve"> P5 +5%</t>
        </r>
      </text>
    </comment>
    <comment ref="A36" authorId="1" shapeId="0" xr:uid="{00000000-0006-0000-0600-000001000000}">
      <text>
        <r>
          <rPr>
            <b/>
            <sz val="8"/>
            <color indexed="81"/>
            <rFont val="Tahoma"/>
            <family val="2"/>
          </rPr>
          <t>Paramètres supplémentaires V3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<sst xmlns="http://schemas.openxmlformats.org/spreadsheetml/2006/main" count="372" uniqueCount="241">
  <si>
    <t>FICHE DE DECISIONS</t>
  </si>
  <si>
    <t xml:space="preserve">Univers </t>
  </si>
  <si>
    <t>Entreprise n° :</t>
  </si>
  <si>
    <t>Année :</t>
  </si>
  <si>
    <t>Définition de l'offre commerciale</t>
  </si>
  <si>
    <t>Prix de vente (€)</t>
  </si>
  <si>
    <t>Pub ciblée produit (€)</t>
  </si>
  <si>
    <t>Qualité des composants</t>
  </si>
  <si>
    <t>Temps</t>
  </si>
  <si>
    <t>Nb prestations prévues</t>
  </si>
  <si>
    <t>CA prévi</t>
  </si>
  <si>
    <t>Réinstallation PC</t>
  </si>
  <si>
    <t>améliorée</t>
  </si>
  <si>
    <t>court</t>
  </si>
  <si>
    <t>Assemblage PC</t>
  </si>
  <si>
    <t>luxe</t>
  </si>
  <si>
    <t>long</t>
  </si>
  <si>
    <t>Formation particulier</t>
  </si>
  <si>
    <t>Pack "réseau"</t>
  </si>
  <si>
    <t>discount</t>
  </si>
  <si>
    <t>Pack "site internet"</t>
  </si>
  <si>
    <t>Développement d'applications</t>
  </si>
  <si>
    <t>Gestion du personnel</t>
  </si>
  <si>
    <t>Recrutement / Licenciement (+/-)</t>
  </si>
  <si>
    <t>Indice de salaire (base 100)</t>
  </si>
  <si>
    <t>Budget formation (€)</t>
  </si>
  <si>
    <t>Techniciens / développeurs</t>
  </si>
  <si>
    <t>€</t>
  </si>
  <si>
    <t>Conseillers (accueil)</t>
  </si>
  <si>
    <t>Communication</t>
  </si>
  <si>
    <t>Etudes de marché</t>
  </si>
  <si>
    <t>Budget interne (accueil)</t>
  </si>
  <si>
    <t xml:space="preserve"> €</t>
  </si>
  <si>
    <t>Prix</t>
  </si>
  <si>
    <t>Image de marque</t>
  </si>
  <si>
    <t>Budget externe (publicité)</t>
  </si>
  <si>
    <t>Publicité</t>
  </si>
  <si>
    <t>Entreprise</t>
  </si>
  <si>
    <t>Parts de marché</t>
  </si>
  <si>
    <t>Questionnaire</t>
  </si>
  <si>
    <t>Gestion des immobilisations</t>
  </si>
  <si>
    <t>Volume prévisionnel</t>
  </si>
  <si>
    <t>sensibilisation client</t>
  </si>
  <si>
    <t>Achat / Cession de stations de travail (+/-)</t>
  </si>
  <si>
    <t>Satisfaction des clients</t>
  </si>
  <si>
    <t>x</t>
  </si>
  <si>
    <t>Remplacement de stations de travail</t>
  </si>
  <si>
    <t>Fidélisation des clients</t>
  </si>
  <si>
    <t>Liasse fiscale</t>
  </si>
  <si>
    <t>Finances</t>
  </si>
  <si>
    <t>Demande d'emprunt (€)</t>
  </si>
  <si>
    <t>Placements (+/-)</t>
  </si>
  <si>
    <t>Augmentation de capital</t>
  </si>
  <si>
    <t>Rappel des données de la fin de la période précédente</t>
  </si>
  <si>
    <t>Historique des stations</t>
  </si>
  <si>
    <t>Nb total Techniciens / développeurs</t>
  </si>
  <si>
    <t>Période</t>
  </si>
  <si>
    <t>Nb total Conseillers</t>
  </si>
  <si>
    <t>Nb stations achetées</t>
  </si>
  <si>
    <t>Nb stations vendues</t>
  </si>
  <si>
    <t>Données à reprendre dans le dernier bilan :</t>
  </si>
  <si>
    <t>Actif</t>
  </si>
  <si>
    <t>Passif</t>
  </si>
  <si>
    <t>Amortissement des stations</t>
  </si>
  <si>
    <t>Capital</t>
  </si>
  <si>
    <t>Placements</t>
  </si>
  <si>
    <t>Réserves</t>
  </si>
  <si>
    <t>Résultat de l'exercice</t>
  </si>
  <si>
    <t xml:space="preserve">Emprunts </t>
  </si>
  <si>
    <t>Concours bancaire</t>
  </si>
  <si>
    <t>Données à reprendre dans les tableaux d'amortissement des emprunts</t>
  </si>
  <si>
    <t xml:space="preserve">Annuités d'emprunts </t>
  </si>
  <si>
    <t>Donnée à calculer :</t>
  </si>
  <si>
    <t>Report à nouveau</t>
  </si>
  <si>
    <t>Erreurs sur la feuille de décisions</t>
  </si>
  <si>
    <t>Intermédiaires de calcul</t>
  </si>
  <si>
    <t>Total</t>
  </si>
  <si>
    <t>Prestations</t>
  </si>
  <si>
    <t>Budget 
Niveau</t>
  </si>
  <si>
    <t>Promo produit</t>
  </si>
  <si>
    <t>Nb total de prestations</t>
  </si>
  <si>
    <t>Conseillers</t>
  </si>
  <si>
    <t>Capacité  prestations standard</t>
  </si>
  <si>
    <t>Capacité  prestations maxi</t>
  </si>
  <si>
    <t>Satisfaction de la clientèle</t>
  </si>
  <si>
    <t>Temps de réparation</t>
  </si>
  <si>
    <t>Fidélisation de la clientèle</t>
  </si>
  <si>
    <t>Embauche</t>
  </si>
  <si>
    <t>Licenciement</t>
  </si>
  <si>
    <t>Techniciens</t>
  </si>
  <si>
    <t>Capacité techniciens standard</t>
  </si>
  <si>
    <t>Capacité  techniciens maxi</t>
  </si>
  <si>
    <t>Coût embauche-licenciement</t>
  </si>
  <si>
    <t xml:space="preserve">Nb de stations </t>
  </si>
  <si>
    <t>Capacité stations</t>
  </si>
  <si>
    <t>Nb de stations cédées</t>
  </si>
  <si>
    <t>Achat</t>
  </si>
  <si>
    <t xml:space="preserve">Placements </t>
  </si>
  <si>
    <t>Ventes</t>
  </si>
  <si>
    <t>Tx amort. Début pér.</t>
  </si>
  <si>
    <t>Nb stations restantes</t>
  </si>
  <si>
    <t>Amortissement des stations restantes-bilan fin pér</t>
  </si>
  <si>
    <t>Solde</t>
  </si>
  <si>
    <t>Nb vendu datant de pér</t>
  </si>
  <si>
    <t>Cumul nb vendu datant pér</t>
  </si>
  <si>
    <t>Tx usure stations</t>
  </si>
  <si>
    <t>Valeur nette compt/u début pér</t>
  </si>
  <si>
    <t>Nb stat. cédées pér en cours</t>
  </si>
  <si>
    <t>Cumul nb vendu pér en cours</t>
  </si>
  <si>
    <t>Valeur nette compt stations cédées pér en cours</t>
  </si>
  <si>
    <t>Terstrat</t>
  </si>
  <si>
    <t>Univers</t>
  </si>
  <si>
    <t>An</t>
  </si>
  <si>
    <t>Attention !</t>
  </si>
  <si>
    <t>Résultat prévisionnel, sous l'hypothèse que toutes les prestations ont été réalisées</t>
  </si>
  <si>
    <t>Produits d'exploitation</t>
  </si>
  <si>
    <t>Autres produits d'exploitation</t>
  </si>
  <si>
    <t>Total des produits</t>
  </si>
  <si>
    <t>Charges d'exploitation</t>
  </si>
  <si>
    <t>Achats de consommables</t>
  </si>
  <si>
    <t>Charges externes</t>
  </si>
  <si>
    <t>Entretien des bancs</t>
  </si>
  <si>
    <t>Formation</t>
  </si>
  <si>
    <t>Etudes</t>
  </si>
  <si>
    <t>DONT LIASSE FISCALE et….</t>
  </si>
  <si>
    <t>Personnel</t>
  </si>
  <si>
    <t>Personnel technique</t>
  </si>
  <si>
    <t>Personnel d'accueil</t>
  </si>
  <si>
    <t>Dotations aux amortissements</t>
  </si>
  <si>
    <t>Total des charges</t>
  </si>
  <si>
    <t>Résultat d'exploitation</t>
  </si>
  <si>
    <t>Produits financiers</t>
  </si>
  <si>
    <t>Charges financières</t>
  </si>
  <si>
    <t>Résultat financier</t>
  </si>
  <si>
    <t>Produits exceptionnels</t>
  </si>
  <si>
    <t>Charges exceptionnelles</t>
  </si>
  <si>
    <t>Résultat exceptionnel</t>
  </si>
  <si>
    <t>Résultat avant impôts</t>
  </si>
  <si>
    <t>Impôts</t>
  </si>
  <si>
    <t>Résultat</t>
  </si>
  <si>
    <t>Bilan prévisionnel, sous l'hypothèse que toutes les prestations ont été réalisées</t>
  </si>
  <si>
    <t>Actif immobilisé</t>
  </si>
  <si>
    <t>Capitaux propres</t>
  </si>
  <si>
    <t>Stations de travail</t>
  </si>
  <si>
    <t>Brut</t>
  </si>
  <si>
    <t>Amortissement</t>
  </si>
  <si>
    <t>Net</t>
  </si>
  <si>
    <t>Total capitaux propres</t>
  </si>
  <si>
    <t>Total actif immobilisé</t>
  </si>
  <si>
    <t>Dettes</t>
  </si>
  <si>
    <t>Actif circulant</t>
  </si>
  <si>
    <t>Emprunts à long et moyen terme</t>
  </si>
  <si>
    <t>Dettes fiscales</t>
  </si>
  <si>
    <t>Disponibilités</t>
  </si>
  <si>
    <t>Concours bancaires</t>
  </si>
  <si>
    <t>Total actif circulant</t>
  </si>
  <si>
    <t>Total dettes</t>
  </si>
  <si>
    <t>TOTAL ACTIF</t>
  </si>
  <si>
    <t>TOTAL PASSIF</t>
  </si>
  <si>
    <t>Tableau d'amortissement d'un emprunt à annuités constantes</t>
  </si>
  <si>
    <t>Taux d'intérêt</t>
  </si>
  <si>
    <t>Durée</t>
  </si>
  <si>
    <t>Annuité</t>
  </si>
  <si>
    <t>Valeur initiale</t>
  </si>
  <si>
    <t>Intérêt</t>
  </si>
  <si>
    <t>Valeur finale</t>
  </si>
  <si>
    <t>Marge prévisionnelle, sous l'hypothèse que toutes les prestations ont été réalisées</t>
  </si>
  <si>
    <t>Prix de vente</t>
  </si>
  <si>
    <t>Charges directes (composants)</t>
  </si>
  <si>
    <t>Charges indirectes</t>
  </si>
  <si>
    <t>Charges directes (promo)</t>
  </si>
  <si>
    <t>Relatives à l'accueil</t>
  </si>
  <si>
    <t>Clé de répartition</t>
  </si>
  <si>
    <t>Nb prestations</t>
  </si>
  <si>
    <t>Relatives à la réparation</t>
  </si>
  <si>
    <t>%</t>
  </si>
  <si>
    <t>Relatives aux stations</t>
  </si>
  <si>
    <t>Salaires</t>
  </si>
  <si>
    <t>Relatives à la structure</t>
  </si>
  <si>
    <t>Coût de Revient global</t>
  </si>
  <si>
    <t>Temps en réparation</t>
  </si>
  <si>
    <t>Marge nette d'exploitation</t>
  </si>
  <si>
    <t>Temps en réparation Total</t>
  </si>
  <si>
    <t>en % du prix de vente</t>
  </si>
  <si>
    <t>Décomposition des charges (en %)</t>
  </si>
  <si>
    <t>Entretien des stations</t>
  </si>
  <si>
    <t>CA</t>
  </si>
  <si>
    <t>Les produits et charges financiers et exceptionnels ne sont pas pris en compte.</t>
  </si>
  <si>
    <t>CA total</t>
  </si>
  <si>
    <t>Communication interne</t>
  </si>
  <si>
    <t>Communication externe</t>
  </si>
  <si>
    <t>Paramètres généraux</t>
  </si>
  <si>
    <t>Paramètres prestations</t>
  </si>
  <si>
    <t xml:space="preserve">Prestation </t>
  </si>
  <si>
    <t>Assembage Pc</t>
  </si>
  <si>
    <t>Pack "Réseau"</t>
  </si>
  <si>
    <t xml:space="preserve">Qualité des composants </t>
  </si>
  <si>
    <t>Coût indice 100</t>
  </si>
  <si>
    <t>Niveau</t>
  </si>
  <si>
    <t>standard</t>
  </si>
  <si>
    <t>sensibilisation des clients</t>
  </si>
  <si>
    <t>Coût annuel d'entretien</t>
  </si>
  <si>
    <t>Temps indice 100</t>
  </si>
  <si>
    <t>Investissement</t>
  </si>
  <si>
    <t>Niveau de temps</t>
  </si>
  <si>
    <t>Cession</t>
  </si>
  <si>
    <t>Durée d'amortissement</t>
  </si>
  <si>
    <t>très court</t>
  </si>
  <si>
    <t>Capacité d'une station</t>
  </si>
  <si>
    <t xml:space="preserve">Amortissement technique des stations </t>
  </si>
  <si>
    <t>Année achat</t>
  </si>
  <si>
    <t>très long</t>
  </si>
  <si>
    <t>Année +1</t>
  </si>
  <si>
    <t>Année +2</t>
  </si>
  <si>
    <t>Année +3</t>
  </si>
  <si>
    <t>Année +4</t>
  </si>
  <si>
    <t>Année +5 et plus</t>
  </si>
  <si>
    <t>Scenario</t>
  </si>
  <si>
    <t>An début</t>
  </si>
  <si>
    <t>Capacité d'accueil</t>
  </si>
  <si>
    <t>Capacité de réparation</t>
  </si>
  <si>
    <t>Salaire du personnel d'accueil</t>
  </si>
  <si>
    <t>Salaire du personnel technique</t>
  </si>
  <si>
    <t xml:space="preserve">Techniciens </t>
  </si>
  <si>
    <t>Délai achat</t>
  </si>
  <si>
    <t>Tx usure</t>
  </si>
  <si>
    <t>Environnement</t>
  </si>
  <si>
    <t>Taux d'impôt sur les sociétés</t>
  </si>
  <si>
    <t>Taux de découvert bancaire</t>
  </si>
  <si>
    <t>Taux d'emprunt</t>
  </si>
  <si>
    <t>Durée emprunt</t>
  </si>
  <si>
    <t>ans</t>
  </si>
  <si>
    <t>Taux de placement</t>
  </si>
  <si>
    <t>Capital initial</t>
  </si>
  <si>
    <t>Paramètres internes</t>
  </si>
  <si>
    <t>Bonus max capacité accueil</t>
  </si>
  <si>
    <t>Bonus max capacité technique</t>
  </si>
  <si>
    <t>Min</t>
  </si>
  <si>
    <t>Max</t>
  </si>
  <si>
    <t>Indice salaire technicien</t>
  </si>
  <si>
    <t>Indice salaire accueil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</si>
</sst>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\ _€"/>
    <numFmt numFmtId="166" formatCode="#,##0\ &quot;€&quot;"/>
    <numFmt numFmtId="167" formatCode="0&quot; ans&quot;"/>
    <numFmt numFmtId="168" formatCode="0&quot; H&quot;"/>
    <numFmt numFmtId="169" formatCode="0&quot; p&quot;"/>
    <numFmt numFmtId="170" formatCode="0.0%"/>
    <numFmt numFmtId="171" formatCode="0.0&quot; H&quot;"/>
    <numFmt numFmtId="172" formatCode="#,##0.0"/>
    <numFmt numFmtId="173" formatCode="&quot;(&quot;0&quot; ans)&quot;"/>
    <numFmt numFmtId="174" formatCode="_-* #,##0\ [$€-40C]_-;\-* #,##0\ [$€-40C]_-;_-* &quot;-&quot;??\ [$€-40C]_-;_-@_-"/>
  </numFmts>
  <fonts count="49">
    <font>
      <sz val="10"/>
      <name val="Arial"/>
    </font>
    <font>
      <sz val="10"/>
      <name val="Franklin Gothic Book"/>
      <family val="2"/>
    </font>
    <font>
      <b/>
      <sz val="10"/>
      <color indexed="9"/>
      <name val="Franklin Gothic Book"/>
      <family val="2"/>
    </font>
    <font>
      <sz val="10"/>
      <color indexed="9"/>
      <name val="Franklin Gothic Book"/>
      <family val="2"/>
    </font>
    <font>
      <b/>
      <sz val="10"/>
      <name val="Franklin Gothic Book"/>
      <family val="2"/>
    </font>
    <font>
      <b/>
      <i/>
      <sz val="10"/>
      <name val="Franklin Gothic Book"/>
      <family val="2"/>
    </font>
    <font>
      <b/>
      <sz val="10"/>
      <color indexed="53"/>
      <name val="Franklin Gothic Book"/>
      <family val="2"/>
    </font>
    <font>
      <sz val="10"/>
      <color indexed="9"/>
      <name val="Franklin Gothic Demi"/>
      <family val="2"/>
    </font>
    <font>
      <sz val="10"/>
      <name val="Franklin Gothic Demi"/>
      <family val="2"/>
    </font>
    <font>
      <sz val="10"/>
      <color indexed="53"/>
      <name val="Franklin Gothic Demi"/>
      <family val="2"/>
    </font>
    <font>
      <sz val="10"/>
      <color indexed="10"/>
      <name val="Franklin Gothic Book"/>
      <family val="2"/>
    </font>
    <font>
      <i/>
      <sz val="10"/>
      <name val="Franklin Gothic Demi"/>
      <family val="2"/>
    </font>
    <font>
      <b/>
      <sz val="14"/>
      <color rgb="FFFF0000"/>
      <name val="Arial"/>
      <family val="2"/>
    </font>
    <font>
      <sz val="18"/>
      <name val="Franklin Gothic Demi"/>
      <family val="2"/>
    </font>
    <font>
      <sz val="12"/>
      <name val="Franklin Gothic Demi"/>
      <family val="2"/>
    </font>
    <font>
      <u/>
      <sz val="12"/>
      <name val="Franklin Gothic Demi"/>
      <family val="2"/>
    </font>
    <font>
      <sz val="9"/>
      <name val="Franklin Gothic Demi"/>
      <family val="2"/>
    </font>
    <font>
      <sz val="9"/>
      <name val="Franklin Gothic Book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color rgb="FFFF0000"/>
      <name val="Franklin Gothic Book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b/>
      <sz val="12"/>
      <name val="Franklin Gothic Book"/>
      <family val="2"/>
    </font>
    <font>
      <sz val="12"/>
      <color rgb="FF00B050"/>
      <name val="Franklin Gothic Demi"/>
      <family val="2"/>
    </font>
    <font>
      <b/>
      <sz val="10"/>
      <color rgb="FFFF0000"/>
      <name val="Arial"/>
      <family val="2"/>
    </font>
    <font>
      <sz val="12"/>
      <color rgb="FFFF0000"/>
      <name val="Franklin Gothic Demi"/>
      <family val="2"/>
    </font>
    <font>
      <sz val="10"/>
      <color theme="5" tint="-0.499984740745262"/>
      <name val="Arial"/>
      <family val="2"/>
    </font>
    <font>
      <sz val="10"/>
      <color theme="9" tint="-0.249977111117893"/>
      <name val="Arial"/>
      <family val="2"/>
    </font>
    <font>
      <b/>
      <sz val="10"/>
      <color theme="5" tint="-0.499984740745262"/>
      <name val="Arial"/>
      <family val="2"/>
    </font>
    <font>
      <sz val="10"/>
      <color rgb="FF000000"/>
      <name val="Tahoma"/>
      <family val="2"/>
    </font>
    <font>
      <sz val="13"/>
      <color rgb="FF000000"/>
      <name val="Lucida Grande"/>
      <family val="2"/>
    </font>
    <font>
      <sz val="11"/>
      <color rgb="FF000000"/>
      <name val="Lucida Grande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theme="0" tint="-0.14999847407452621"/>
      <name val="Franklin Gothic Demi"/>
      <family val="2"/>
    </font>
    <font>
      <sz val="8"/>
      <color theme="0" tint="-0.1499984740745262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/>
      <right style="thin">
        <color auto="1"/>
      </right>
      <top style="thin">
        <color auto="1"/>
      </top>
      <bottom style="double">
        <color rgb="FFFF0000"/>
      </bottom>
      <diagonal/>
    </border>
    <border>
      <left style="medium">
        <color auto="1"/>
      </left>
      <right style="medium">
        <color auto="1"/>
      </right>
      <top style="double">
        <color rgb="FFFF0000"/>
      </top>
      <bottom style="double">
        <color rgb="FFFF0000"/>
      </bottom>
      <diagonal/>
    </border>
    <border>
      <left/>
      <right style="thin">
        <color auto="1"/>
      </right>
      <top style="double">
        <color rgb="FFFF0000"/>
      </top>
      <bottom style="double">
        <color rgb="FFFF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</cellStyleXfs>
  <cellXfs count="199">
    <xf numFmtId="0" fontId="0" fillId="0" borderId="0" xfId="0"/>
    <xf numFmtId="0" fontId="1" fillId="0" borderId="0" xfId="0" applyFont="1" applyAlignment="1">
      <alignment horizontal="center" vertical="center"/>
    </xf>
    <xf numFmtId="165" fontId="3" fillId="0" borderId="2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7" fillId="3" borderId="13" xfId="0" applyFont="1" applyFill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27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2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0" xfId="1" applyNumberFormat="1" applyFont="1"/>
    <xf numFmtId="0" fontId="1" fillId="4" borderId="6" xfId="0" applyFont="1" applyFill="1" applyBorder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0" fillId="0" borderId="30" xfId="0" applyBorder="1"/>
    <xf numFmtId="3" fontId="1" fillId="4" borderId="6" xfId="0" applyNumberFormat="1" applyFont="1" applyFill="1" applyBorder="1" applyAlignment="1">
      <alignment vertical="center"/>
    </xf>
    <xf numFmtId="4" fontId="1" fillId="4" borderId="6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22" fillId="0" borderId="0" xfId="0" applyFont="1"/>
    <xf numFmtId="0" fontId="18" fillId="6" borderId="0" xfId="0" applyFont="1" applyFill="1"/>
    <xf numFmtId="0" fontId="0" fillId="0" borderId="0" xfId="0" applyAlignment="1">
      <alignment horizontal="center"/>
    </xf>
    <xf numFmtId="172" fontId="0" fillId="0" borderId="0" xfId="3" applyNumberFormat="1" applyFont="1"/>
    <xf numFmtId="173" fontId="0" fillId="0" borderId="0" xfId="0" applyNumberFormat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28" xfId="0" applyBorder="1"/>
    <xf numFmtId="0" fontId="16" fillId="0" borderId="32" xfId="0" applyFont="1" applyBorder="1" applyAlignment="1">
      <alignment horizontal="center" vertical="center" wrapText="1"/>
    </xf>
    <xf numFmtId="0" fontId="23" fillId="0" borderId="6" xfId="0" applyFont="1" applyBorder="1"/>
    <xf numFmtId="0" fontId="0" fillId="0" borderId="6" xfId="0" applyBorder="1"/>
    <xf numFmtId="3" fontId="0" fillId="0" borderId="0" xfId="0" applyNumberFormat="1"/>
    <xf numFmtId="0" fontId="4" fillId="0" borderId="22" xfId="0" applyFont="1" applyBorder="1" applyAlignment="1">
      <alignment horizontal="right" vertical="center"/>
    </xf>
    <xf numFmtId="3" fontId="1" fillId="0" borderId="17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4" fillId="0" borderId="10" xfId="0" applyNumberFormat="1" applyFont="1" applyBorder="1" applyAlignment="1">
      <alignment vertical="center"/>
    </xf>
    <xf numFmtId="0" fontId="13" fillId="0" borderId="25" xfId="0" applyFont="1" applyBorder="1" applyAlignment="1">
      <alignment horizontal="left" vertical="center"/>
    </xf>
    <xf numFmtId="8" fontId="0" fillId="0" borderId="0" xfId="0" applyNumberFormat="1"/>
    <xf numFmtId="0" fontId="0" fillId="10" borderId="0" xfId="0" applyFill="1"/>
    <xf numFmtId="9" fontId="0" fillId="10" borderId="0" xfId="2" applyFont="1" applyFill="1"/>
    <xf numFmtId="167" fontId="0" fillId="10" borderId="0" xfId="1" applyNumberFormat="1" applyFont="1" applyFill="1"/>
    <xf numFmtId="0" fontId="27" fillId="0" borderId="6" xfId="0" quotePrefix="1" applyFont="1" applyBorder="1" applyAlignment="1">
      <alignment horizontal="center"/>
    </xf>
    <xf numFmtId="3" fontId="27" fillId="0" borderId="6" xfId="0" applyNumberFormat="1" applyFont="1" applyBorder="1"/>
    <xf numFmtId="0" fontId="27" fillId="0" borderId="6" xfId="0" applyFont="1" applyBorder="1" applyAlignment="1">
      <alignment horizontal="center"/>
    </xf>
    <xf numFmtId="3" fontId="1" fillId="9" borderId="6" xfId="0" applyNumberFormat="1" applyFont="1" applyFill="1" applyBorder="1" applyAlignment="1">
      <alignment vertical="center"/>
    </xf>
    <xf numFmtId="3" fontId="1" fillId="0" borderId="23" xfId="0" applyNumberFormat="1" applyFont="1" applyBorder="1" applyAlignment="1">
      <alignment horizontal="right" vertical="center"/>
    </xf>
    <xf numFmtId="3" fontId="1" fillId="0" borderId="20" xfId="0" applyNumberFormat="1" applyFont="1" applyBorder="1" applyAlignment="1">
      <alignment vertical="center"/>
    </xf>
    <xf numFmtId="3" fontId="1" fillId="0" borderId="21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3" fontId="4" fillId="0" borderId="16" xfId="0" applyNumberFormat="1" applyFont="1" applyBorder="1" applyAlignment="1">
      <alignment horizontal="right" vertical="center"/>
    </xf>
    <xf numFmtId="3" fontId="1" fillId="0" borderId="5" xfId="0" applyNumberFormat="1" applyFont="1" applyBorder="1" applyAlignment="1">
      <alignment horizontal="right" vertical="center"/>
    </xf>
    <xf numFmtId="3" fontId="4" fillId="0" borderId="10" xfId="0" quotePrefix="1" applyNumberFormat="1" applyFont="1" applyBorder="1" applyAlignment="1">
      <alignment horizontal="right" vertical="center"/>
    </xf>
    <xf numFmtId="3" fontId="1" fillId="0" borderId="19" xfId="0" applyNumberFormat="1" applyFont="1" applyBorder="1" applyAlignment="1">
      <alignment horizontal="right" vertical="center" wrapText="1"/>
    </xf>
    <xf numFmtId="3" fontId="1" fillId="0" borderId="22" xfId="0" applyNumberFormat="1" applyFont="1" applyBorder="1" applyAlignment="1">
      <alignment horizontal="right" vertical="center"/>
    </xf>
    <xf numFmtId="3" fontId="1" fillId="8" borderId="17" xfId="0" applyNumberFormat="1" applyFont="1" applyFill="1" applyBorder="1" applyAlignment="1">
      <alignment horizontal="right" vertical="center"/>
    </xf>
    <xf numFmtId="3" fontId="1" fillId="0" borderId="16" xfId="0" applyNumberFormat="1" applyFont="1" applyBorder="1" applyAlignment="1">
      <alignment horizontal="right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horizontal="center" vertical="center"/>
    </xf>
    <xf numFmtId="0" fontId="15" fillId="0" borderId="0" xfId="0" applyFont="1"/>
    <xf numFmtId="0" fontId="1" fillId="0" borderId="0" xfId="0" applyFont="1"/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horizontal="right"/>
    </xf>
    <xf numFmtId="3" fontId="23" fillId="0" borderId="0" xfId="0" applyNumberFormat="1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170" fontId="30" fillId="0" borderId="0" xfId="2" applyNumberFormat="1" applyFont="1"/>
    <xf numFmtId="2" fontId="0" fillId="0" borderId="0" xfId="1" applyNumberFormat="1" applyFont="1"/>
    <xf numFmtId="3" fontId="0" fillId="0" borderId="0" xfId="1" applyNumberFormat="1" applyFont="1"/>
    <xf numFmtId="0" fontId="28" fillId="0" borderId="0" xfId="0" applyFont="1" applyAlignment="1">
      <alignment horizontal="center"/>
    </xf>
    <xf numFmtId="170" fontId="29" fillId="0" borderId="0" xfId="0" applyNumberFormat="1" applyFont="1"/>
    <xf numFmtId="170" fontId="28" fillId="0" borderId="0" xfId="2" applyNumberFormat="1" applyFont="1"/>
    <xf numFmtId="1" fontId="30" fillId="0" borderId="0" xfId="0" applyNumberFormat="1" applyFont="1"/>
    <xf numFmtId="2" fontId="0" fillId="0" borderId="0" xfId="0" applyNumberFormat="1"/>
    <xf numFmtId="0" fontId="30" fillId="0" borderId="0" xfId="0" applyFont="1" applyAlignment="1">
      <alignment horizontal="center"/>
    </xf>
    <xf numFmtId="170" fontId="28" fillId="0" borderId="0" xfId="0" applyNumberFormat="1" applyFont="1"/>
    <xf numFmtId="9" fontId="0" fillId="0" borderId="0" xfId="2" applyFont="1"/>
    <xf numFmtId="0" fontId="14" fillId="0" borderId="0" xfId="0" applyFont="1"/>
    <xf numFmtId="9" fontId="0" fillId="0" borderId="0" xfId="0" applyNumberFormat="1"/>
    <xf numFmtId="0" fontId="7" fillId="2" borderId="18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3" fontId="1" fillId="0" borderId="35" xfId="0" applyNumberFormat="1" applyFont="1" applyBorder="1" applyAlignment="1">
      <alignment vertical="center"/>
    </xf>
    <xf numFmtId="3" fontId="4" fillId="0" borderId="36" xfId="0" applyNumberFormat="1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3" fontId="4" fillId="0" borderId="35" xfId="0" applyNumberFormat="1" applyFont="1" applyBorder="1" applyAlignment="1">
      <alignment vertical="center"/>
    </xf>
    <xf numFmtId="165" fontId="4" fillId="0" borderId="37" xfId="0" applyNumberFormat="1" applyFont="1" applyBorder="1" applyAlignment="1">
      <alignment horizontal="right" vertical="center"/>
    </xf>
    <xf numFmtId="165" fontId="3" fillId="0" borderId="20" xfId="0" applyNumberFormat="1" applyFont="1" applyBorder="1" applyAlignment="1">
      <alignment horizontal="right" vertical="center"/>
    </xf>
    <xf numFmtId="165" fontId="3" fillId="0" borderId="21" xfId="0" applyNumberFormat="1" applyFont="1" applyBorder="1" applyAlignment="1">
      <alignment horizontal="right" vertical="center"/>
    </xf>
    <xf numFmtId="0" fontId="11" fillId="0" borderId="38" xfId="0" applyFont="1" applyBorder="1" applyAlignment="1">
      <alignment horizontal="right" vertical="center"/>
    </xf>
    <xf numFmtId="3" fontId="1" fillId="0" borderId="39" xfId="0" applyNumberFormat="1" applyFont="1" applyBorder="1" applyAlignment="1">
      <alignment horizontal="right" vertical="center"/>
    </xf>
    <xf numFmtId="3" fontId="5" fillId="0" borderId="40" xfId="0" applyNumberFormat="1" applyFont="1" applyBorder="1" applyAlignment="1">
      <alignment vertical="center"/>
    </xf>
    <xf numFmtId="3" fontId="5" fillId="0" borderId="41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horizontal="right" vertical="center" wrapText="1"/>
    </xf>
    <xf numFmtId="0" fontId="7" fillId="2" borderId="43" xfId="0" applyFont="1" applyFill="1" applyBorder="1" applyAlignment="1">
      <alignment horizontal="center" vertical="center"/>
    </xf>
    <xf numFmtId="3" fontId="5" fillId="0" borderId="44" xfId="0" applyNumberFormat="1" applyFont="1" applyBorder="1" applyAlignment="1">
      <alignment horizontal="right" vertical="center" wrapText="1"/>
    </xf>
    <xf numFmtId="0" fontId="8" fillId="0" borderId="38" xfId="0" applyFont="1" applyBorder="1" applyAlignment="1">
      <alignment horizontal="left" vertical="center"/>
    </xf>
    <xf numFmtId="0" fontId="7" fillId="2" borderId="38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45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165" fontId="3" fillId="0" borderId="45" xfId="0" applyNumberFormat="1" applyFont="1" applyBorder="1" applyAlignment="1">
      <alignment horizontal="right" vertical="center"/>
    </xf>
    <xf numFmtId="0" fontId="3" fillId="0" borderId="45" xfId="0" applyFont="1" applyBorder="1" applyAlignment="1">
      <alignment vertical="center"/>
    </xf>
    <xf numFmtId="0" fontId="32" fillId="0" borderId="0" xfId="0" applyFont="1"/>
    <xf numFmtId="0" fontId="33" fillId="0" borderId="0" xfId="0" applyFont="1"/>
    <xf numFmtId="3" fontId="1" fillId="8" borderId="0" xfId="0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19" fillId="0" borderId="0" xfId="0" applyFont="1"/>
    <xf numFmtId="0" fontId="0" fillId="0" borderId="0" xfId="0" applyAlignment="1">
      <alignment horizontal="left" indent="1"/>
    </xf>
    <xf numFmtId="0" fontId="19" fillId="0" borderId="0" xfId="0" applyFont="1" applyAlignment="1">
      <alignment horizontal="left" indent="1"/>
    </xf>
    <xf numFmtId="0" fontId="19" fillId="0" borderId="0" xfId="0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5" fillId="17" borderId="0" xfId="0" applyFont="1" applyFill="1" applyAlignment="1">
      <alignment horizontal="center"/>
    </xf>
    <xf numFmtId="0" fontId="0" fillId="17" borderId="0" xfId="0" applyFill="1"/>
    <xf numFmtId="9" fontId="0" fillId="17" borderId="0" xfId="2" applyFont="1" applyFill="1"/>
    <xf numFmtId="0" fontId="37" fillId="0" borderId="0" xfId="0" applyFont="1"/>
    <xf numFmtId="174" fontId="43" fillId="0" borderId="47" xfId="0" applyNumberFormat="1" applyFont="1" applyBorder="1" applyAlignment="1">
      <alignment horizontal="center" vertical="center" wrapText="1"/>
    </xf>
    <xf numFmtId="174" fontId="44" fillId="0" borderId="0" xfId="0" applyNumberFormat="1" applyFont="1"/>
    <xf numFmtId="0" fontId="21" fillId="0" borderId="6" xfId="0" applyFont="1" applyBorder="1"/>
    <xf numFmtId="166" fontId="0" fillId="0" borderId="6" xfId="1" applyNumberFormat="1" applyFont="1" applyBorder="1"/>
    <xf numFmtId="0" fontId="19" fillId="0" borderId="6" xfId="0" applyFont="1" applyBorder="1"/>
    <xf numFmtId="0" fontId="20" fillId="0" borderId="6" xfId="0" applyFont="1" applyBorder="1" applyAlignment="1">
      <alignment vertical="center" wrapText="1"/>
    </xf>
    <xf numFmtId="166" fontId="0" fillId="0" borderId="6" xfId="1" applyNumberFormat="1" applyFont="1" applyBorder="1" applyAlignment="1">
      <alignment wrapText="1"/>
    </xf>
    <xf numFmtId="0" fontId="0" fillId="0" borderId="6" xfId="0" applyBorder="1" applyAlignment="1">
      <alignment wrapText="1"/>
    </xf>
    <xf numFmtId="0" fontId="20" fillId="0" borderId="6" xfId="0" applyFont="1" applyBorder="1" applyAlignment="1">
      <alignment wrapText="1"/>
    </xf>
    <xf numFmtId="0" fontId="23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/>
    </xf>
    <xf numFmtId="171" fontId="0" fillId="0" borderId="6" xfId="1" applyNumberFormat="1" applyFont="1" applyBorder="1"/>
    <xf numFmtId="167" fontId="0" fillId="0" borderId="6" xfId="1" applyNumberFormat="1" applyFont="1" applyBorder="1"/>
    <xf numFmtId="168" fontId="0" fillId="0" borderId="6" xfId="1" applyNumberFormat="1" applyFont="1" applyBorder="1"/>
    <xf numFmtId="0" fontId="19" fillId="4" borderId="6" xfId="0" applyFont="1" applyFill="1" applyBorder="1"/>
    <xf numFmtId="9" fontId="19" fillId="4" borderId="6" xfId="2" applyFont="1" applyFill="1" applyBorder="1"/>
    <xf numFmtId="0" fontId="20" fillId="0" borderId="6" xfId="0" applyFont="1" applyBorder="1"/>
    <xf numFmtId="169" fontId="0" fillId="0" borderId="6" xfId="1" applyNumberFormat="1" applyFont="1" applyBorder="1"/>
    <xf numFmtId="166" fontId="0" fillId="7" borderId="6" xfId="1" applyNumberFormat="1" applyFont="1" applyFill="1" applyBorder="1"/>
    <xf numFmtId="0" fontId="0" fillId="4" borderId="6" xfId="0" applyFill="1" applyBorder="1"/>
    <xf numFmtId="166" fontId="0" fillId="4" borderId="6" xfId="1" applyNumberFormat="1" applyFont="1" applyFill="1" applyBorder="1"/>
    <xf numFmtId="9" fontId="0" fillId="0" borderId="6" xfId="0" applyNumberFormat="1" applyBorder="1"/>
    <xf numFmtId="10" fontId="0" fillId="18" borderId="6" xfId="2" applyNumberFormat="1" applyFont="1" applyFill="1" applyBorder="1"/>
    <xf numFmtId="170" fontId="0" fillId="7" borderId="6" xfId="2" applyNumberFormat="1" applyFont="1" applyFill="1" applyBorder="1"/>
    <xf numFmtId="0" fontId="0" fillId="0" borderId="6" xfId="1" applyNumberFormat="1" applyFont="1" applyBorder="1"/>
    <xf numFmtId="9" fontId="0" fillId="7" borderId="6" xfId="2" applyFont="1" applyFill="1" applyBorder="1"/>
    <xf numFmtId="166" fontId="0" fillId="0" borderId="6" xfId="1" applyNumberFormat="1" applyFont="1" applyFill="1" applyBorder="1"/>
    <xf numFmtId="0" fontId="19" fillId="0" borderId="6" xfId="0" applyFont="1" applyBorder="1" applyAlignment="1">
      <alignment horizontal="center"/>
    </xf>
    <xf numFmtId="0" fontId="19" fillId="0" borderId="0" xfId="0" applyFont="1" applyAlignment="1">
      <alignment wrapText="1"/>
    </xf>
    <xf numFmtId="0" fontId="19" fillId="8" borderId="0" xfId="0" applyFont="1" applyFill="1"/>
    <xf numFmtId="0" fontId="19" fillId="7" borderId="0" xfId="0" applyFont="1" applyFill="1"/>
    <xf numFmtId="170" fontId="19" fillId="18" borderId="6" xfId="2" applyNumberFormat="1" applyFont="1" applyFill="1" applyBorder="1"/>
    <xf numFmtId="0" fontId="24" fillId="0" borderId="0" xfId="0" applyFont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67733</xdr:rowOff>
    </xdr:from>
    <xdr:to>
      <xdr:col>0</xdr:col>
      <xdr:colOff>1885950</xdr:colOff>
      <xdr:row>1</xdr:row>
      <xdr:rowOff>112183</xdr:rowOff>
    </xdr:to>
    <xdr:pic>
      <xdr:nvPicPr>
        <xdr:cNvPr id="4" name="Image 3" descr="Logo_TerStra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1950" y="67733"/>
          <a:ext cx="1524000" cy="383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49"/>
  <sheetViews>
    <sheetView tabSelected="1" zoomScale="90" zoomScaleNormal="90" workbookViewId="0">
      <selection activeCell="C20" sqref="C20"/>
    </sheetView>
  </sheetViews>
  <sheetFormatPr baseColWidth="10" defaultColWidth="11.44140625" defaultRowHeight="13.2"/>
  <cols>
    <col min="1" max="1" width="33.33203125" customWidth="1"/>
    <col min="5" max="5" width="15.88671875" customWidth="1"/>
    <col min="6" max="6" width="24.6640625" bestFit="1" customWidth="1"/>
    <col min="8" max="8" width="18.33203125" customWidth="1"/>
    <col min="16" max="16" width="7.6640625" customWidth="1"/>
    <col min="17" max="17" width="35.33203125" customWidth="1"/>
  </cols>
  <sheetData>
    <row r="1" spans="1:10" ht="26.25" customHeight="1">
      <c r="A1" s="39"/>
      <c r="B1" s="33"/>
      <c r="C1" s="33"/>
      <c r="D1" s="32" t="s">
        <v>0</v>
      </c>
      <c r="E1" s="33"/>
      <c r="F1" s="33"/>
      <c r="G1" s="33"/>
      <c r="H1" s="33"/>
      <c r="I1" s="33"/>
      <c r="J1" s="34"/>
    </row>
    <row r="2" spans="1:10" ht="16.8" thickBot="1">
      <c r="A2" s="24"/>
      <c r="B2" s="25" t="s">
        <v>1</v>
      </c>
      <c r="C2" s="88"/>
      <c r="D2" s="25" t="s">
        <v>2</v>
      </c>
      <c r="E2" s="26"/>
      <c r="F2" s="88">
        <v>1</v>
      </c>
      <c r="G2" s="55"/>
      <c r="H2" s="25" t="s">
        <v>3</v>
      </c>
      <c r="I2" s="87">
        <v>7</v>
      </c>
      <c r="J2" s="27"/>
    </row>
    <row r="4" spans="1:10" ht="16.2">
      <c r="A4" s="29" t="s">
        <v>4</v>
      </c>
    </row>
    <row r="5" spans="1:10" ht="25.2">
      <c r="B5" s="37" t="s">
        <v>5</v>
      </c>
      <c r="C5" s="37" t="s">
        <v>6</v>
      </c>
      <c r="D5" s="37" t="s">
        <v>7</v>
      </c>
      <c r="E5" s="37" t="s">
        <v>8</v>
      </c>
      <c r="F5" s="37" t="s">
        <v>9</v>
      </c>
      <c r="G5" s="163" t="s">
        <v>10</v>
      </c>
      <c r="H5" s="164"/>
    </row>
    <row r="6" spans="1:10" ht="18" customHeight="1">
      <c r="A6" t="s">
        <v>11</v>
      </c>
      <c r="B6" s="41">
        <v>135</v>
      </c>
      <c r="C6" s="41">
        <v>1000</v>
      </c>
      <c r="D6" s="38" t="s">
        <v>12</v>
      </c>
      <c r="E6" s="36" t="s">
        <v>16</v>
      </c>
      <c r="F6" s="36">
        <v>1200</v>
      </c>
      <c r="G6" s="164">
        <f>+F6*B6</f>
        <v>162000</v>
      </c>
      <c r="H6" s="164"/>
    </row>
    <row r="7" spans="1:10" ht="18" customHeight="1">
      <c r="A7" t="s">
        <v>14</v>
      </c>
      <c r="B7" s="41">
        <v>1350</v>
      </c>
      <c r="C7" s="41">
        <v>3000</v>
      </c>
      <c r="D7" s="38" t="s">
        <v>15</v>
      </c>
      <c r="E7" s="36" t="s">
        <v>16</v>
      </c>
      <c r="F7" s="36">
        <v>120</v>
      </c>
      <c r="G7" s="164">
        <f t="shared" ref="G7:G11" si="0">+F7*B7</f>
        <v>162000</v>
      </c>
      <c r="H7" s="164"/>
    </row>
    <row r="8" spans="1:10" ht="18" customHeight="1">
      <c r="A8" t="s">
        <v>17</v>
      </c>
      <c r="B8" s="41">
        <v>375</v>
      </c>
      <c r="C8" s="41">
        <v>2000</v>
      </c>
      <c r="D8" s="38"/>
      <c r="E8" s="36" t="s">
        <v>16</v>
      </c>
      <c r="F8" s="36">
        <v>300</v>
      </c>
      <c r="G8" s="164">
        <f t="shared" si="0"/>
        <v>112500</v>
      </c>
      <c r="H8" s="164">
        <f>SUM(G6:G11)</f>
        <v>1239000</v>
      </c>
    </row>
    <row r="9" spans="1:10" ht="18" customHeight="1">
      <c r="A9" t="s">
        <v>18</v>
      </c>
      <c r="B9" s="41">
        <v>3500</v>
      </c>
      <c r="C9" s="41">
        <v>4000</v>
      </c>
      <c r="D9" s="38" t="s">
        <v>12</v>
      </c>
      <c r="E9" s="36" t="s">
        <v>13</v>
      </c>
      <c r="F9" s="36">
        <v>150</v>
      </c>
      <c r="G9" s="164">
        <f t="shared" si="0"/>
        <v>525000</v>
      </c>
      <c r="H9" s="164"/>
    </row>
    <row r="10" spans="1:10" ht="18" customHeight="1">
      <c r="A10" t="s">
        <v>20</v>
      </c>
      <c r="B10" s="41">
        <v>2700</v>
      </c>
      <c r="C10" s="41">
        <v>1000</v>
      </c>
      <c r="D10" s="38" t="s">
        <v>15</v>
      </c>
      <c r="E10" s="36" t="s">
        <v>16</v>
      </c>
      <c r="F10" s="36">
        <v>25</v>
      </c>
      <c r="G10" s="164">
        <f t="shared" si="0"/>
        <v>67500</v>
      </c>
      <c r="H10" s="164"/>
    </row>
    <row r="11" spans="1:10" ht="18" customHeight="1">
      <c r="A11" t="s">
        <v>21</v>
      </c>
      <c r="B11" s="41">
        <v>14000</v>
      </c>
      <c r="C11" s="41">
        <v>5000</v>
      </c>
      <c r="D11" s="38" t="s">
        <v>12</v>
      </c>
      <c r="E11" s="36" t="s">
        <v>16</v>
      </c>
      <c r="F11" s="36">
        <v>15</v>
      </c>
      <c r="G11" s="164">
        <f t="shared" si="0"/>
        <v>210000</v>
      </c>
      <c r="H11" s="164"/>
    </row>
    <row r="13" spans="1:10" ht="16.2">
      <c r="A13" s="29" t="s">
        <v>22</v>
      </c>
      <c r="B13" s="4"/>
      <c r="C13" s="4"/>
      <c r="D13" s="4"/>
      <c r="E13" s="4"/>
      <c r="F13" s="4"/>
      <c r="G13" s="4"/>
      <c r="H13" s="4"/>
      <c r="I13" s="4"/>
    </row>
    <row r="14" spans="1:10" ht="13.5" customHeight="1">
      <c r="A14" s="28"/>
      <c r="B14" s="28"/>
      <c r="C14" s="30" t="s">
        <v>23</v>
      </c>
      <c r="D14" s="28"/>
      <c r="E14" s="28"/>
      <c r="F14" s="30" t="s">
        <v>24</v>
      </c>
      <c r="G14" s="28"/>
      <c r="H14" s="28"/>
      <c r="I14" s="30" t="s">
        <v>25</v>
      </c>
    </row>
    <row r="15" spans="1:10" ht="18" customHeight="1">
      <c r="A15" t="s">
        <v>26</v>
      </c>
      <c r="B15" s="4"/>
      <c r="C15" s="36">
        <v>2</v>
      </c>
      <c r="D15" s="4"/>
      <c r="E15" s="4"/>
      <c r="F15" s="38">
        <v>120</v>
      </c>
      <c r="G15" s="31"/>
      <c r="H15" s="4"/>
      <c r="I15" s="40">
        <v>25000</v>
      </c>
      <c r="J15" s="31" t="s">
        <v>27</v>
      </c>
    </row>
    <row r="16" spans="1:10" ht="18" customHeight="1">
      <c r="A16" s="152" t="s">
        <v>28</v>
      </c>
      <c r="B16" s="4"/>
      <c r="C16" s="36">
        <v>1</v>
      </c>
      <c r="D16" s="4"/>
      <c r="E16" s="4"/>
      <c r="F16" s="38">
        <v>117</v>
      </c>
      <c r="G16" s="31"/>
      <c r="H16" s="4"/>
      <c r="I16" s="40">
        <v>10000</v>
      </c>
      <c r="J16" s="31" t="s">
        <v>27</v>
      </c>
    </row>
    <row r="18" spans="1:15" ht="16.2">
      <c r="A18" s="29" t="s">
        <v>29</v>
      </c>
      <c r="B18" s="4"/>
      <c r="C18" s="4"/>
      <c r="D18" s="4"/>
      <c r="E18" s="4"/>
      <c r="F18" s="29" t="s">
        <v>30</v>
      </c>
    </row>
    <row r="19" spans="1:15" ht="18" customHeight="1">
      <c r="A19" t="s">
        <v>31</v>
      </c>
      <c r="B19" s="4"/>
      <c r="C19" s="40">
        <v>20000</v>
      </c>
      <c r="D19" s="31" t="s">
        <v>32</v>
      </c>
      <c r="E19" s="4"/>
      <c r="F19" t="s">
        <v>33</v>
      </c>
      <c r="G19" s="38"/>
      <c r="H19" t="s">
        <v>34</v>
      </c>
      <c r="I19" s="38"/>
    </row>
    <row r="20" spans="1:15" ht="18" customHeight="1">
      <c r="A20" s="152" t="s">
        <v>35</v>
      </c>
      <c r="B20" s="4"/>
      <c r="C20" s="40">
        <v>45000</v>
      </c>
      <c r="D20" s="31" t="s">
        <v>32</v>
      </c>
      <c r="E20" s="4"/>
      <c r="F20" t="s">
        <v>36</v>
      </c>
      <c r="G20" s="38"/>
      <c r="H20" t="s">
        <v>37</v>
      </c>
      <c r="I20" s="38"/>
    </row>
    <row r="21" spans="1:15" ht="18" customHeight="1">
      <c r="A21" s="4"/>
      <c r="B21" s="4"/>
      <c r="C21" s="4"/>
      <c r="D21" s="4"/>
      <c r="E21" s="4"/>
      <c r="F21" t="s">
        <v>38</v>
      </c>
      <c r="G21" s="38"/>
      <c r="H21" t="s">
        <v>39</v>
      </c>
      <c r="I21" s="38"/>
    </row>
    <row r="22" spans="1:15" ht="18" customHeight="1">
      <c r="A22" s="29" t="s">
        <v>40</v>
      </c>
      <c r="B22" s="4"/>
      <c r="C22" s="4"/>
      <c r="D22" s="4"/>
      <c r="E22" s="4"/>
      <c r="F22" t="s">
        <v>41</v>
      </c>
      <c r="G22" s="38"/>
      <c r="H22" s="152" t="s">
        <v>42</v>
      </c>
      <c r="I22" s="38"/>
    </row>
    <row r="23" spans="1:15" ht="18" customHeight="1">
      <c r="A23" t="s">
        <v>43</v>
      </c>
      <c r="B23" s="4"/>
      <c r="C23" s="36">
        <v>2</v>
      </c>
      <c r="D23" s="4"/>
      <c r="F23" t="s">
        <v>44</v>
      </c>
      <c r="G23" s="38"/>
    </row>
    <row r="24" spans="1:15" ht="18" customHeight="1">
      <c r="A24" t="s">
        <v>46</v>
      </c>
      <c r="B24" s="4"/>
      <c r="C24" s="36">
        <v>1</v>
      </c>
      <c r="D24" s="4"/>
      <c r="F24" t="s">
        <v>47</v>
      </c>
      <c r="G24" s="38"/>
    </row>
    <row r="25" spans="1:15" ht="18" customHeight="1">
      <c r="B25" s="4"/>
      <c r="D25" s="4"/>
      <c r="F25" t="s">
        <v>48</v>
      </c>
      <c r="G25" s="38" t="s">
        <v>45</v>
      </c>
    </row>
    <row r="26" spans="1:15" ht="18" customHeight="1">
      <c r="A26" s="29" t="s">
        <v>49</v>
      </c>
    </row>
    <row r="27" spans="1:15" ht="18" customHeight="1">
      <c r="A27" t="s">
        <v>50</v>
      </c>
      <c r="B27" s="40"/>
      <c r="C27" s="31" t="s">
        <v>32</v>
      </c>
    </row>
    <row r="28" spans="1:15" ht="18" customHeight="1">
      <c r="A28" t="s">
        <v>51</v>
      </c>
      <c r="B28" s="40"/>
      <c r="C28" s="31" t="s">
        <v>32</v>
      </c>
    </row>
    <row r="29" spans="1:15" ht="18" customHeight="1">
      <c r="A29" t="s">
        <v>52</v>
      </c>
      <c r="B29" s="40"/>
      <c r="C29" s="31" t="s">
        <v>32</v>
      </c>
    </row>
    <row r="30" spans="1:15" ht="14.25" customHeight="1"/>
    <row r="31" spans="1:15" ht="14.25" customHeight="1">
      <c r="A31" s="151" t="s">
        <v>53</v>
      </c>
      <c r="F31" s="151" t="s">
        <v>54</v>
      </c>
    </row>
    <row r="32" spans="1:15" ht="13.8">
      <c r="A32" s="152" t="s">
        <v>55</v>
      </c>
      <c r="B32" s="73">
        <v>4</v>
      </c>
      <c r="F32" s="155" t="s">
        <v>56</v>
      </c>
      <c r="G32">
        <v>1</v>
      </c>
      <c r="H32">
        <f t="shared" ref="H32:O32" si="1">IF(an&gt;COLUMN(H33)-6,COLUMN(H33)-6,"")</f>
        <v>2</v>
      </c>
      <c r="I32">
        <v>3</v>
      </c>
      <c r="J32">
        <v>4</v>
      </c>
      <c r="K32">
        <v>5</v>
      </c>
      <c r="L32">
        <v>6</v>
      </c>
      <c r="M32">
        <v>7</v>
      </c>
      <c r="N32" t="str">
        <f t="shared" si="1"/>
        <v/>
      </c>
      <c r="O32" t="str">
        <f t="shared" si="1"/>
        <v/>
      </c>
    </row>
    <row r="33" spans="1:15" ht="13.8">
      <c r="A33" s="152" t="s">
        <v>57</v>
      </c>
      <c r="B33" s="73">
        <v>2</v>
      </c>
      <c r="F33" s="152" t="s">
        <v>58</v>
      </c>
      <c r="G33" s="73">
        <v>2</v>
      </c>
      <c r="H33" s="73">
        <v>1</v>
      </c>
      <c r="I33" s="73">
        <v>0</v>
      </c>
      <c r="J33" s="73">
        <v>1</v>
      </c>
      <c r="K33" s="73">
        <v>0</v>
      </c>
      <c r="L33" s="73">
        <v>2</v>
      </c>
      <c r="M33" s="73">
        <v>2</v>
      </c>
      <c r="N33" s="73"/>
      <c r="O33" s="73"/>
    </row>
    <row r="34" spans="1:15" ht="13.8">
      <c r="A34" s="152"/>
      <c r="B34" s="150"/>
      <c r="D34" s="152"/>
      <c r="F34" s="152" t="s">
        <v>59</v>
      </c>
      <c r="G34" s="47"/>
      <c r="H34" s="73">
        <v>0</v>
      </c>
      <c r="I34" s="73">
        <v>0</v>
      </c>
      <c r="J34" s="73">
        <v>1</v>
      </c>
      <c r="K34" s="73">
        <v>0</v>
      </c>
      <c r="L34" s="73">
        <v>2</v>
      </c>
      <c r="M34" s="73">
        <v>1</v>
      </c>
      <c r="N34" s="73"/>
      <c r="O34" s="73"/>
    </row>
    <row r="35" spans="1:15" ht="13.8">
      <c r="A35" s="152"/>
      <c r="B35" s="150"/>
      <c r="D35" s="152"/>
      <c r="G35" s="47"/>
    </row>
    <row r="36" spans="1:15" ht="13.8">
      <c r="A36" s="152"/>
      <c r="B36" s="150"/>
      <c r="D36" s="152"/>
      <c r="G36" s="47"/>
    </row>
    <row r="37" spans="1:15">
      <c r="A37" s="149" t="s">
        <v>60</v>
      </c>
    </row>
    <row r="38" spans="1:15">
      <c r="A38" s="149" t="s">
        <v>61</v>
      </c>
      <c r="D38" s="149" t="s">
        <v>62</v>
      </c>
    </row>
    <row r="39" spans="1:15" ht="13.8">
      <c r="A39" s="152" t="s">
        <v>63</v>
      </c>
      <c r="B39" s="73">
        <v>18400</v>
      </c>
      <c r="C39" s="31" t="s">
        <v>32</v>
      </c>
      <c r="D39" t="s">
        <v>64</v>
      </c>
      <c r="F39" s="73"/>
      <c r="G39" s="31" t="s">
        <v>32</v>
      </c>
    </row>
    <row r="40" spans="1:15" ht="13.8">
      <c r="A40" s="152" t="s">
        <v>65</v>
      </c>
      <c r="B40" s="73"/>
      <c r="C40" s="31" t="s">
        <v>32</v>
      </c>
      <c r="D40" t="s">
        <v>66</v>
      </c>
      <c r="F40" s="73"/>
      <c r="G40" s="31" t="s">
        <v>32</v>
      </c>
    </row>
    <row r="41" spans="1:15" ht="13.8">
      <c r="A41" s="149"/>
      <c r="D41" t="s">
        <v>67</v>
      </c>
      <c r="F41" s="73">
        <v>15893</v>
      </c>
      <c r="G41" s="31" t="s">
        <v>32</v>
      </c>
    </row>
    <row r="42" spans="1:15" ht="13.8">
      <c r="A42" s="149"/>
      <c r="D42" s="152" t="s">
        <v>68</v>
      </c>
      <c r="E42" s="152"/>
      <c r="F42" s="73"/>
      <c r="G42" s="31" t="s">
        <v>32</v>
      </c>
    </row>
    <row r="43" spans="1:15" ht="13.8">
      <c r="A43" s="149"/>
      <c r="D43" s="152" t="s">
        <v>69</v>
      </c>
      <c r="E43" s="152"/>
      <c r="F43" s="73">
        <v>51528</v>
      </c>
      <c r="G43" s="31" t="s">
        <v>32</v>
      </c>
    </row>
    <row r="44" spans="1:15">
      <c r="A44" s="149"/>
    </row>
    <row r="45" spans="1:15">
      <c r="A45" s="149" t="s">
        <v>70</v>
      </c>
    </row>
    <row r="46" spans="1:15" ht="13.8">
      <c r="A46" s="191" t="s">
        <v>71</v>
      </c>
      <c r="B46" s="73"/>
      <c r="C46" s="31" t="s">
        <v>32</v>
      </c>
    </row>
    <row r="48" spans="1:15">
      <c r="A48" s="149" t="s">
        <v>72</v>
      </c>
    </row>
    <row r="49" spans="1:3" ht="13.8">
      <c r="A49" s="192" t="s">
        <v>73</v>
      </c>
      <c r="B49" s="73"/>
      <c r="C49" s="31" t="s">
        <v>32</v>
      </c>
    </row>
  </sheetData>
  <dataValidations count="5">
    <dataValidation type="list" allowBlank="1" showInputMessage="1" showErrorMessage="1" errorTitle="Erreur saisie" error="Le niveau est 1, 2, 3 ou 4" sqref="D6:D11" xr:uid="{00000000-0002-0000-0000-000000000000}">
      <formula1>liste_niveau</formula1>
    </dataValidation>
    <dataValidation type="list" allowBlank="1" showInputMessage="1" showErrorMessage="1" errorTitle="Erreur de saisie" error="Valeur impossible" sqref="E6:E11" xr:uid="{00000000-0002-0000-0000-000001000000}">
      <formula1>liste_temps</formula1>
    </dataValidation>
    <dataValidation type="list" allowBlank="1" showInputMessage="1" showErrorMessage="1" errorTitle="Erreur" error="Cocher par x ou laisser vide" sqref="G19:G25 I19:I22" xr:uid="{00000000-0002-0000-0000-000002000000}">
      <formula1>"x"</formula1>
    </dataValidation>
    <dataValidation type="whole" allowBlank="1" showInputMessage="1" showErrorMessage="1" errorTitle="Erreur de saisie" error="Valeur impossible " sqref="F16" xr:uid="{00000000-0002-0000-0000-000003000000}">
      <formula1>Min_ind_Cons</formula1>
      <formula2>Max_ind_Cons</formula2>
    </dataValidation>
    <dataValidation type="whole" allowBlank="1" showInputMessage="1" showErrorMessage="1" errorTitle="Erreur de saisie" error="Valeur impossible " sqref="F15" xr:uid="{00000000-0002-0000-0000-000004000000}">
      <formula1>Min_ind_Tech</formula1>
      <formula2>Max_ind_Tech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AA47"/>
  <sheetViews>
    <sheetView topLeftCell="A10" workbookViewId="0">
      <selection activeCell="D34" sqref="D34"/>
    </sheetView>
  </sheetViews>
  <sheetFormatPr baseColWidth="10" defaultColWidth="11.44140625" defaultRowHeight="13.2"/>
  <cols>
    <col min="1" max="1" width="26.6640625" customWidth="1"/>
    <col min="3" max="3" width="12.88671875" bestFit="1" customWidth="1"/>
    <col min="4" max="4" width="40.44140625" customWidth="1"/>
    <col min="6" max="6" width="32.33203125" customWidth="1"/>
    <col min="9" max="9" width="35.33203125" customWidth="1"/>
    <col min="16" max="16" width="42.109375" bestFit="1" customWidth="1"/>
  </cols>
  <sheetData>
    <row r="1" spans="1:16" ht="17.399999999999999">
      <c r="B1" s="43" t="s">
        <v>74</v>
      </c>
      <c r="J1" s="193" t="s">
        <v>75</v>
      </c>
    </row>
    <row r="2" spans="1:16" ht="17.399999999999999">
      <c r="B2" s="43"/>
    </row>
    <row r="3" spans="1:16" ht="15.6">
      <c r="A3" s="44" t="str">
        <f>IF(an="","Remplir le n° de l'année","")</f>
        <v/>
      </c>
      <c r="J3" s="57">
        <v>1</v>
      </c>
      <c r="K3" s="57">
        <v>2</v>
      </c>
      <c r="L3" s="57">
        <v>3</v>
      </c>
      <c r="M3" s="57">
        <v>4</v>
      </c>
      <c r="N3" s="57">
        <v>5</v>
      </c>
      <c r="O3" s="57">
        <v>6</v>
      </c>
      <c r="P3" s="155" t="s">
        <v>76</v>
      </c>
    </row>
    <row r="4" spans="1:16">
      <c r="I4" s="56" t="s">
        <v>5</v>
      </c>
      <c r="J4" s="58">
        <f t="array" ref="J4:O4">TRANSPOSE(Décisions!B6:B11)</f>
        <v>135</v>
      </c>
      <c r="K4" s="58">
        <v>1350</v>
      </c>
      <c r="L4" s="58">
        <v>375</v>
      </c>
      <c r="M4" s="58">
        <v>3500</v>
      </c>
      <c r="N4" s="58">
        <v>2700</v>
      </c>
      <c r="O4" s="58">
        <v>14000</v>
      </c>
    </row>
    <row r="5" spans="1:16" ht="25.2">
      <c r="A5" s="152" t="s">
        <v>77</v>
      </c>
      <c r="I5" s="56" t="s">
        <v>78</v>
      </c>
      <c r="J5" s="58" t="str">
        <f t="array" ref="J5:O5">TRANSPOSE(Décisions!D6:D11)</f>
        <v>améliorée</v>
      </c>
      <c r="K5" s="58" t="str">
        <v>luxe</v>
      </c>
      <c r="L5" s="58">
        <v>0</v>
      </c>
      <c r="M5" s="58" t="str">
        <v>améliorée</v>
      </c>
      <c r="N5" s="58" t="str">
        <v>luxe</v>
      </c>
      <c r="O5" s="58" t="str">
        <v>améliorée</v>
      </c>
    </row>
    <row r="6" spans="1:16" ht="15.6">
      <c r="A6" t="s">
        <v>11</v>
      </c>
      <c r="B6">
        <f>ROW(A6)-5</f>
        <v>1</v>
      </c>
      <c r="C6">
        <f t="shared" ref="C6:C11" si="0">VLOOKUP(B6,an_debut,2)</f>
        <v>1</v>
      </c>
      <c r="D6" s="44" t="str">
        <f>IF(AND(C6&gt;an,Décisions!B6&gt;0),"Prestation inexistante à cette date","")</f>
        <v/>
      </c>
      <c r="I6" s="56" t="s">
        <v>8</v>
      </c>
      <c r="J6" s="58" t="str">
        <f t="array" ref="J6:O6">TRANSPOSE(Décisions!E6:E11)</f>
        <v>long</v>
      </c>
      <c r="K6" s="58" t="str">
        <v>long</v>
      </c>
      <c r="L6" s="58" t="str">
        <v>long</v>
      </c>
      <c r="M6" s="58" t="str">
        <v>court</v>
      </c>
      <c r="N6" s="58" t="str">
        <v>long</v>
      </c>
      <c r="O6" s="58" t="str">
        <v>long</v>
      </c>
    </row>
    <row r="7" spans="1:16" ht="15.6">
      <c r="A7" t="s">
        <v>14</v>
      </c>
      <c r="B7">
        <f t="shared" ref="B7:B11" si="1">ROW(A7)-5</f>
        <v>2</v>
      </c>
      <c r="C7">
        <f t="shared" si="0"/>
        <v>2</v>
      </c>
      <c r="D7" s="44" t="str">
        <f>IF(AND(C7&gt;an,Décisions!B7&gt;0),"Prestation inexistante à cette date","")</f>
        <v/>
      </c>
      <c r="I7" s="56" t="s">
        <v>9</v>
      </c>
      <c r="J7" s="58">
        <f t="array" ref="J7:O7">TRANSPOSE(Décisions!F6:F11)</f>
        <v>1200</v>
      </c>
      <c r="K7" s="58">
        <v>120</v>
      </c>
      <c r="L7" s="58">
        <v>300</v>
      </c>
      <c r="M7" s="58">
        <v>150</v>
      </c>
      <c r="N7" s="58">
        <v>25</v>
      </c>
      <c r="O7" s="58">
        <v>15</v>
      </c>
    </row>
    <row r="8" spans="1:16" ht="15.6">
      <c r="A8" t="s">
        <v>17</v>
      </c>
      <c r="B8">
        <f t="shared" si="1"/>
        <v>3</v>
      </c>
      <c r="C8">
        <f t="shared" si="0"/>
        <v>3</v>
      </c>
      <c r="D8" s="44" t="str">
        <f>IF(AND(C8&gt;an,Décisions!B8&gt;0),"Prestation inexistante à cette date","")</f>
        <v/>
      </c>
      <c r="I8" s="37" t="s">
        <v>79</v>
      </c>
      <c r="J8" s="58">
        <f t="array" ref="J8:O8">TRANSPOSE(Décisions!C6:C11)</f>
        <v>1000</v>
      </c>
      <c r="K8" s="58">
        <v>3000</v>
      </c>
      <c r="L8" s="58">
        <v>2000</v>
      </c>
      <c r="M8" s="58">
        <v>4000</v>
      </c>
      <c r="N8" s="58">
        <v>1000</v>
      </c>
      <c r="O8" s="58">
        <v>5000</v>
      </c>
      <c r="P8">
        <f>SUM(J8:O8)</f>
        <v>16000</v>
      </c>
    </row>
    <row r="9" spans="1:16" ht="15.6">
      <c r="A9" t="s">
        <v>18</v>
      </c>
      <c r="B9">
        <f t="shared" si="1"/>
        <v>4</v>
      </c>
      <c r="C9">
        <f t="shared" si="0"/>
        <v>1</v>
      </c>
      <c r="D9" s="44" t="str">
        <f>IF(AND(C9&gt;an,Décisions!B9&gt;0),"Prestation inexistante à cette date","")</f>
        <v/>
      </c>
    </row>
    <row r="10" spans="1:16" ht="15.6">
      <c r="A10" t="s">
        <v>20</v>
      </c>
      <c r="B10">
        <f t="shared" si="1"/>
        <v>5</v>
      </c>
      <c r="C10">
        <f t="shared" si="0"/>
        <v>4</v>
      </c>
      <c r="D10" s="44" t="str">
        <f>IF(AND(C10&gt;an,Décisions!B10&gt;0),"Prestation inexistante à cette date","")</f>
        <v/>
      </c>
      <c r="I10" t="s">
        <v>33</v>
      </c>
      <c r="J10">
        <f>Paramètres!B4</f>
        <v>1000</v>
      </c>
      <c r="K10">
        <f>IF(Décisions!G19="x",1,0)</f>
        <v>0</v>
      </c>
    </row>
    <row r="11" spans="1:16" ht="15.6">
      <c r="A11" t="s">
        <v>21</v>
      </c>
      <c r="B11">
        <f t="shared" si="1"/>
        <v>6</v>
      </c>
      <c r="C11">
        <f t="shared" si="0"/>
        <v>5</v>
      </c>
      <c r="D11" s="44" t="str">
        <f>IF(AND(C11&gt;an,Décisions!B11&gt;0),"Prestation inexistante à cette date","")</f>
        <v/>
      </c>
      <c r="I11" t="s">
        <v>36</v>
      </c>
      <c r="J11">
        <f>Paramètres!B5</f>
        <v>1000</v>
      </c>
      <c r="K11">
        <f>IF(Décisions!G20="x",1,0)</f>
        <v>0</v>
      </c>
    </row>
    <row r="12" spans="1:16">
      <c r="I12" t="s">
        <v>38</v>
      </c>
      <c r="J12">
        <f>Paramètres!B6</f>
        <v>1000</v>
      </c>
      <c r="K12">
        <f>IF(Décisions!G21="x",1,0)</f>
        <v>0</v>
      </c>
    </row>
    <row r="13" spans="1:16" ht="15.6">
      <c r="A13" t="s">
        <v>80</v>
      </c>
      <c r="B13">
        <f>SUM(Décisions!F6:F11)</f>
        <v>1810</v>
      </c>
      <c r="D13" s="44" t="str">
        <f>IF(B13&gt;$B$15,"Risque de dépassement à l'accueil","")</f>
        <v/>
      </c>
      <c r="I13" t="s">
        <v>34</v>
      </c>
      <c r="J13">
        <f>Paramètres!B7</f>
        <v>1000</v>
      </c>
      <c r="K13">
        <f>IF(Décisions!I19="x",1,0)</f>
        <v>0</v>
      </c>
    </row>
    <row r="14" spans="1:16" ht="15.6">
      <c r="A14" t="s">
        <v>81</v>
      </c>
      <c r="B14">
        <f>Décisions!B33+Décisions!C16</f>
        <v>3</v>
      </c>
      <c r="D14" s="44" t="str">
        <f>IF(B13&gt;B16,"Dépassement de capacité à l'accueil","")</f>
        <v/>
      </c>
      <c r="I14" t="s">
        <v>37</v>
      </c>
      <c r="J14">
        <f>Paramètres!B8</f>
        <v>2000</v>
      </c>
      <c r="K14">
        <f>IF(Décisions!I20="x",1,0)</f>
        <v>0</v>
      </c>
    </row>
    <row r="15" spans="1:16">
      <c r="A15" t="s">
        <v>82</v>
      </c>
      <c r="B15">
        <f>$B$14*Paramètres!$B$32</f>
        <v>3000</v>
      </c>
      <c r="I15" t="s">
        <v>39</v>
      </c>
      <c r="J15">
        <f>Paramètres!B9</f>
        <v>1500</v>
      </c>
      <c r="K15">
        <f>IF(Décisions!I21="x",1,0)</f>
        <v>0</v>
      </c>
    </row>
    <row r="16" spans="1:16">
      <c r="A16" t="s">
        <v>83</v>
      </c>
      <c r="B16">
        <f>$B$14*Paramètres!$B$32*(1+Paramètres!B52)</f>
        <v>3900</v>
      </c>
      <c r="I16" t="s">
        <v>41</v>
      </c>
      <c r="J16">
        <f>Paramètres!B10</f>
        <v>2000</v>
      </c>
      <c r="K16">
        <f>IF(Décisions!G22="x",1,0)</f>
        <v>0</v>
      </c>
    </row>
    <row r="17" spans="1:16">
      <c r="I17" t="s">
        <v>84</v>
      </c>
      <c r="J17">
        <f>Paramètres!B11</f>
        <v>1000</v>
      </c>
      <c r="K17">
        <f>IF(Décisions!G23="x",1,0)</f>
        <v>0</v>
      </c>
    </row>
    <row r="18" spans="1:16">
      <c r="A18" t="s">
        <v>85</v>
      </c>
      <c r="I18" t="s">
        <v>86</v>
      </c>
      <c r="J18">
        <f>Paramètres!B12</f>
        <v>1000</v>
      </c>
      <c r="K18">
        <f>IF(Décisions!G24="x",1,0)</f>
        <v>0</v>
      </c>
    </row>
    <row r="19" spans="1:16">
      <c r="A19" t="s">
        <v>11</v>
      </c>
      <c r="B19" t="str">
        <f>Décisions!E6</f>
        <v>long</v>
      </c>
      <c r="C19" s="46">
        <f>Paramètres!$F$17*VLOOKUP(B19,tab_temps,2,FALSE)*Décisions!F6/100</f>
        <v>2160</v>
      </c>
      <c r="I19" t="s">
        <v>48</v>
      </c>
      <c r="J19">
        <f>Paramètres!B13</f>
        <v>1000</v>
      </c>
      <c r="K19">
        <f>IF(Décisions!G25="x",1,0)</f>
        <v>1</v>
      </c>
    </row>
    <row r="20" spans="1:16">
      <c r="A20" t="s">
        <v>14</v>
      </c>
      <c r="B20" t="str">
        <f>Décisions!E7</f>
        <v>long</v>
      </c>
      <c r="C20" s="46">
        <f>Paramètres!$G$17*VLOOKUP(B20,tab_temps,3,FALSE)*Décisions!F7/100</f>
        <v>576</v>
      </c>
      <c r="I20" s="152" t="s">
        <v>42</v>
      </c>
      <c r="J20">
        <f>Paramètres!B14</f>
        <v>1000</v>
      </c>
      <c r="K20">
        <f>IF(Décisions!I22="x",1,0)</f>
        <v>0</v>
      </c>
    </row>
    <row r="21" spans="1:16">
      <c r="A21" t="s">
        <v>17</v>
      </c>
      <c r="B21" t="str">
        <f>Décisions!E8</f>
        <v>long</v>
      </c>
      <c r="C21" s="46">
        <f>Paramètres!$H$17*VLOOKUP(B21,tab_temps,4,FALSE)*Décisions!F8/100</f>
        <v>2160</v>
      </c>
    </row>
    <row r="22" spans="1:16">
      <c r="A22" t="s">
        <v>18</v>
      </c>
      <c r="B22" t="str">
        <f>Décisions!E9</f>
        <v>court</v>
      </c>
      <c r="C22" s="46">
        <f>Paramètres!$I$17*VLOOKUP(B22,tab_temps,5,FALSE)*Décisions!F9/100</f>
        <v>2250</v>
      </c>
      <c r="I22" s="152" t="s">
        <v>87</v>
      </c>
    </row>
    <row r="23" spans="1:16">
      <c r="A23" t="s">
        <v>20</v>
      </c>
      <c r="B23" t="str">
        <f>Décisions!E10</f>
        <v>long</v>
      </c>
      <c r="C23" s="46">
        <f>Paramètres!$J$17*VLOOKUP(B23,tab_temps,6,FALSE)*Décisions!F10/100</f>
        <v>720</v>
      </c>
      <c r="I23" s="153" t="s">
        <v>26</v>
      </c>
      <c r="J23">
        <f>IF(Décisions!$C$15&gt;0,Décisions!$C$15,0)</f>
        <v>2</v>
      </c>
      <c r="K23">
        <f>J23*Paramètres!$B$38</f>
        <v>2000</v>
      </c>
    </row>
    <row r="24" spans="1:16">
      <c r="A24" t="s">
        <v>21</v>
      </c>
      <c r="B24" t="str">
        <f>Décisions!E11</f>
        <v>long</v>
      </c>
      <c r="C24" s="46">
        <f>Paramètres!$K$17*VLOOKUP(B24,tab_temps,7,FALSE)*Décisions!F11/100</f>
        <v>1800</v>
      </c>
      <c r="I24" s="154" t="s">
        <v>28</v>
      </c>
      <c r="J24">
        <f>IF(Décisions!$C$16&gt;0,Décisions!$C$16,0)</f>
        <v>1</v>
      </c>
      <c r="K24">
        <f>J24*Paramètres!$B$37</f>
        <v>1300</v>
      </c>
    </row>
    <row r="25" spans="1:16">
      <c r="A25" s="45" t="s">
        <v>76</v>
      </c>
      <c r="C25" s="46">
        <f>SUM(C19:C24)</f>
        <v>9666</v>
      </c>
      <c r="I25" s="152" t="s">
        <v>88</v>
      </c>
    </row>
    <row r="26" spans="1:16" ht="15.6">
      <c r="A26" t="s">
        <v>89</v>
      </c>
      <c r="B26">
        <f>Décisions!B32+Décisions!C15</f>
        <v>6</v>
      </c>
      <c r="D26" s="44" t="str">
        <f>(IF(C25&gt;B27,"Risque de dépassement des heures technicien",""))</f>
        <v>Risque de dépassement des heures technicien</v>
      </c>
      <c r="I26" s="153" t="s">
        <v>26</v>
      </c>
      <c r="J26">
        <f>IF(Décisions!$C$15&lt;0,-Décisions!$C$15,0)</f>
        <v>0</v>
      </c>
      <c r="K26">
        <f>J26*Paramètres!$B$41</f>
        <v>0</v>
      </c>
    </row>
    <row r="27" spans="1:16" ht="15.6">
      <c r="A27" s="152" t="s">
        <v>90</v>
      </c>
      <c r="B27">
        <f>$B$26*Paramètres!$B$33</f>
        <v>7200</v>
      </c>
      <c r="D27" s="44" t="str">
        <f>IF(C25&gt;B28,"Dépassement des heures techniciens","")</f>
        <v>Dépassement des heures techniciens</v>
      </c>
      <c r="I27" s="154" t="s">
        <v>28</v>
      </c>
      <c r="J27">
        <f>IF(Décisions!$C$16&lt;0,-Décisions!$C$16,0)</f>
        <v>0</v>
      </c>
      <c r="K27">
        <f>J27*Paramètres!$B$40</f>
        <v>0</v>
      </c>
    </row>
    <row r="28" spans="1:16">
      <c r="A28" s="152" t="s">
        <v>91</v>
      </c>
      <c r="B28">
        <f>$B$26*Paramètres!$B$33*(1+Paramètres!B53)</f>
        <v>9360</v>
      </c>
      <c r="I28" s="154" t="s">
        <v>92</v>
      </c>
      <c r="K28">
        <f>SUM(K23:K27)</f>
        <v>3300</v>
      </c>
    </row>
    <row r="30" spans="1:16" ht="15.6">
      <c r="A30" s="152" t="s">
        <v>93</v>
      </c>
      <c r="B30">
        <f>$Z$37</f>
        <v>5</v>
      </c>
      <c r="D30" s="44" t="str">
        <f>IF(C25&gt;B31, "Nb de stations insuffisant","")</f>
        <v/>
      </c>
    </row>
    <row r="31" spans="1:16">
      <c r="A31" s="152" t="s">
        <v>94</v>
      </c>
      <c r="B31">
        <f>capac_tot_stations</f>
        <v>10000</v>
      </c>
    </row>
    <row r="32" spans="1:16" ht="15.6">
      <c r="A32" s="152" t="s">
        <v>95</v>
      </c>
      <c r="B32">
        <f>$Z$45</f>
        <v>1</v>
      </c>
      <c r="D32" s="44" t="str">
        <f>IF($Z$35&gt;$Z$34-HLOOKUP(an,$Q$33:$Y$34,2,FALSE),"Décision incohérente","")</f>
        <v/>
      </c>
      <c r="I32" s="152"/>
      <c r="P32" s="162" t="str">
        <f>Décisions!F31</f>
        <v>Historique des stations</v>
      </c>
    </row>
    <row r="33" spans="1:27">
      <c r="P33" s="156" t="str">
        <f>Décisions!F32</f>
        <v>Période</v>
      </c>
      <c r="Q33" s="157">
        <v>1</v>
      </c>
      <c r="R33" s="157">
        <v>2</v>
      </c>
      <c r="S33" s="157">
        <v>3</v>
      </c>
      <c r="T33" s="157">
        <v>4</v>
      </c>
      <c r="U33" s="157">
        <v>5</v>
      </c>
      <c r="V33" s="157">
        <v>6</v>
      </c>
      <c r="W33" s="157">
        <v>7</v>
      </c>
      <c r="X33" s="157">
        <v>8</v>
      </c>
      <c r="Y33" s="157">
        <v>9</v>
      </c>
      <c r="Z33" s="159" t="s">
        <v>76</v>
      </c>
    </row>
    <row r="34" spans="1:27">
      <c r="P34" s="156" t="s">
        <v>96</v>
      </c>
      <c r="Q34">
        <f>IF(Q33&lt;an,Décisions!G33,IF(Q33=an,MAX(0,Décisions!$C$23)+Décisions!$C$24,0))</f>
        <v>2</v>
      </c>
      <c r="R34">
        <f>IF(R33&lt;an,Décisions!H33,IF(R33=an,MAX(0,Décisions!$C$23)+Décisions!$C$24,0))</f>
        <v>1</v>
      </c>
      <c r="S34">
        <f>IF(S33&lt;an,Décisions!I33,IF(S33=an,MAX(0,Décisions!$C$23)+Décisions!$C$24,0))</f>
        <v>0</v>
      </c>
      <c r="T34">
        <f>IF(T33&lt;an,Décisions!J33,IF(T33=an,MAX(0,Décisions!$C$23)+Décisions!$C$24,0))</f>
        <v>1</v>
      </c>
      <c r="U34">
        <f>IF(U33&lt;an,Décisions!K33,IF(U33=an,MAX(0,Décisions!$C$23)+Décisions!$C$24,0))</f>
        <v>0</v>
      </c>
      <c r="V34">
        <f>IF(V33&lt;an,Décisions!L33,IF(V33=an,MAX(0,Décisions!$C$23)+Décisions!$C$24,0))</f>
        <v>2</v>
      </c>
      <c r="W34">
        <f>IF(W33&lt;an,Décisions!M33,IF(W33=an,MAX(0,Décisions!$C$23)+Décisions!$C$24,0))</f>
        <v>3</v>
      </c>
      <c r="X34">
        <f>IF(X33&lt;an,Décisions!N33,IF(X33=an,MAX(0,Décisions!$C$23)+Décisions!$C$24,0))</f>
        <v>0</v>
      </c>
      <c r="Y34">
        <f>IF(Y33&lt;an,Décisions!O33,IF(Y33=an,MAX(0,Décisions!$C$23)+Décisions!$C$24,0))</f>
        <v>0</v>
      </c>
      <c r="Z34" s="160">
        <f>SUM(Q34:Y34)</f>
        <v>9</v>
      </c>
    </row>
    <row r="35" spans="1:27" ht="15.6">
      <c r="A35" t="s">
        <v>97</v>
      </c>
      <c r="B35" s="59">
        <f>Décisions!B40+Décisions!B28</f>
        <v>0</v>
      </c>
      <c r="D35" s="44" t="str">
        <f>IF(B35&lt;0, "Décison incohérente","")</f>
        <v/>
      </c>
      <c r="I35" s="152"/>
      <c r="P35" s="156" t="s">
        <v>98</v>
      </c>
      <c r="Q35">
        <f>IF(Q33&lt;an,Décisions!G34,IF(Q33=an,MAX(0,-Décisions!$C$23)+Décisions!$C$24,0))</f>
        <v>0</v>
      </c>
      <c r="R35">
        <f>IF(R33&lt;an,Décisions!H34,IF(R33=an,MAX(0,-Décisions!$C$23)+Décisions!$C$24,0))</f>
        <v>0</v>
      </c>
      <c r="S35">
        <f>IF(S33&lt;an,Décisions!I34,IF(S33=an,MAX(0,-Décisions!$C$23)+Décisions!$C$24,0))</f>
        <v>0</v>
      </c>
      <c r="T35">
        <f>IF(T33&lt;an,Décisions!J34,IF(T33=an,MAX(0,-Décisions!$C$23)+Décisions!$C$24,0))</f>
        <v>1</v>
      </c>
      <c r="U35">
        <f>IF(U33&lt;an,Décisions!K34,IF(U33=an,MAX(0,-Décisions!$C$23)+Décisions!$C$24,0))</f>
        <v>0</v>
      </c>
      <c r="V35">
        <f>IF(V33&lt;an,Décisions!L34,IF(V33=an,MAX(0,-Décisions!$C$23)+Décisions!$C$24,0))</f>
        <v>2</v>
      </c>
      <c r="W35">
        <f>IF(W33&lt;an,Décisions!M34,IF(W33=an,MAX(0,-Décisions!$C$23)+Décisions!$C$24,0))</f>
        <v>1</v>
      </c>
      <c r="X35">
        <f>IF(X33&lt;an,Décisions!N34,IF(X33=an,MAX(0,-Décisions!$C$23)+Décisions!$C$24,0))</f>
        <v>0</v>
      </c>
      <c r="Y35">
        <f>IF(Y33&lt;an,Décisions!O34,IF(Y33=an,MAX(0,-Décisions!$C$23)+Décisions!$C$24,0))</f>
        <v>0</v>
      </c>
      <c r="Z35" s="160">
        <f>SUM(Q35:Y35)</f>
        <v>4</v>
      </c>
    </row>
    <row r="36" spans="1:27">
      <c r="I36" s="152"/>
      <c r="P36" s="156" t="s">
        <v>99</v>
      </c>
      <c r="Q36" s="113">
        <f t="shared" ref="Q36:Z36" si="2">IF(Q33&lt;=an,MIN((an-Q33)/durée_amort,1),"")</f>
        <v>1</v>
      </c>
      <c r="R36" s="113">
        <f t="shared" si="2"/>
        <v>1</v>
      </c>
      <c r="S36" s="113">
        <f t="shared" si="2"/>
        <v>0.8</v>
      </c>
      <c r="T36" s="113">
        <f t="shared" si="2"/>
        <v>0.6</v>
      </c>
      <c r="U36" s="113">
        <f t="shared" si="2"/>
        <v>0.4</v>
      </c>
      <c r="V36" s="113">
        <f t="shared" si="2"/>
        <v>0.2</v>
      </c>
      <c r="W36" s="113">
        <f t="shared" si="2"/>
        <v>0</v>
      </c>
      <c r="X36" s="113" t="str">
        <f t="shared" si="2"/>
        <v/>
      </c>
      <c r="Y36" s="113" t="str">
        <f t="shared" si="2"/>
        <v/>
      </c>
      <c r="Z36" s="161" t="str">
        <f t="shared" si="2"/>
        <v/>
      </c>
    </row>
    <row r="37" spans="1:27">
      <c r="I37" s="152"/>
      <c r="P37" s="156" t="s">
        <v>100</v>
      </c>
      <c r="Q37">
        <f>MAX(0,Q34-Z35)</f>
        <v>0</v>
      </c>
      <c r="R37">
        <f t="shared" ref="R37:Y37" si="3">MAX(0,R34-Q39)</f>
        <v>0</v>
      </c>
      <c r="S37">
        <f t="shared" si="3"/>
        <v>0</v>
      </c>
      <c r="T37">
        <f t="shared" si="3"/>
        <v>0</v>
      </c>
      <c r="U37">
        <f t="shared" si="3"/>
        <v>0</v>
      </c>
      <c r="V37">
        <f t="shared" si="3"/>
        <v>2</v>
      </c>
      <c r="W37">
        <f t="shared" si="3"/>
        <v>3</v>
      </c>
      <c r="X37">
        <f t="shared" si="3"/>
        <v>0</v>
      </c>
      <c r="Y37">
        <f t="shared" si="3"/>
        <v>0</v>
      </c>
      <c r="Z37" s="160">
        <f>SUM(Q37:Y37)</f>
        <v>5</v>
      </c>
    </row>
    <row r="38" spans="1:27">
      <c r="I38" s="152"/>
      <c r="P38" s="156" t="s">
        <v>101</v>
      </c>
      <c r="Q38">
        <f t="shared" ref="Q38:Y38" si="4">IF(Q33&lt;=an,MIN(1,Q36+1/durée_amort)*Px_achat_station*Q37,"")</f>
        <v>0</v>
      </c>
      <c r="R38">
        <f t="shared" si="4"/>
        <v>0</v>
      </c>
      <c r="S38">
        <f t="shared" si="4"/>
        <v>0</v>
      </c>
      <c r="T38">
        <f t="shared" si="4"/>
        <v>0</v>
      </c>
      <c r="U38">
        <f t="shared" si="4"/>
        <v>0</v>
      </c>
      <c r="V38">
        <f t="shared" si="4"/>
        <v>16000</v>
      </c>
      <c r="W38">
        <f t="shared" si="4"/>
        <v>12000</v>
      </c>
      <c r="X38" t="str">
        <f t="shared" si="4"/>
        <v/>
      </c>
      <c r="Y38" t="str">
        <f t="shared" si="4"/>
        <v/>
      </c>
      <c r="Z38" s="160">
        <f>SUM(Q38:Y38)</f>
        <v>28000</v>
      </c>
    </row>
    <row r="39" spans="1:27">
      <c r="I39" s="152"/>
      <c r="P39" s="158" t="s">
        <v>102</v>
      </c>
      <c r="Q39">
        <f>MAX(0,$Z$35-Q34)</f>
        <v>2</v>
      </c>
      <c r="R39">
        <f t="shared" ref="R39:Z39" si="5">MAX(0,Q39-R34)</f>
        <v>1</v>
      </c>
      <c r="S39">
        <f t="shared" si="5"/>
        <v>1</v>
      </c>
      <c r="T39">
        <f t="shared" si="5"/>
        <v>0</v>
      </c>
      <c r="U39">
        <f t="shared" si="5"/>
        <v>0</v>
      </c>
      <c r="V39">
        <f t="shared" si="5"/>
        <v>0</v>
      </c>
      <c r="W39">
        <f t="shared" si="5"/>
        <v>0</v>
      </c>
      <c r="X39">
        <f t="shared" si="5"/>
        <v>0</v>
      </c>
      <c r="Y39">
        <f t="shared" si="5"/>
        <v>0</v>
      </c>
      <c r="Z39" s="160">
        <f t="shared" si="5"/>
        <v>0</v>
      </c>
    </row>
    <row r="40" spans="1:27">
      <c r="I40" s="152"/>
      <c r="P40" s="158" t="s">
        <v>103</v>
      </c>
      <c r="Q40">
        <f>Q34-Q37</f>
        <v>2</v>
      </c>
      <c r="R40">
        <f t="shared" ref="R40:Y40" si="6">R34-R37</f>
        <v>1</v>
      </c>
      <c r="S40">
        <f t="shared" si="6"/>
        <v>0</v>
      </c>
      <c r="T40">
        <f t="shared" si="6"/>
        <v>1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 s="160"/>
    </row>
    <row r="41" spans="1:27">
      <c r="P41" s="158" t="s">
        <v>104</v>
      </c>
      <c r="Q41">
        <f>Q40</f>
        <v>2</v>
      </c>
      <c r="R41">
        <f>Q41+R40</f>
        <v>3</v>
      </c>
      <c r="S41">
        <f t="shared" ref="S41:Y41" si="7">R41+S40</f>
        <v>3</v>
      </c>
      <c r="T41">
        <f t="shared" si="7"/>
        <v>4</v>
      </c>
      <c r="U41">
        <f t="shared" si="7"/>
        <v>4</v>
      </c>
      <c r="V41">
        <f t="shared" si="7"/>
        <v>4</v>
      </c>
      <c r="W41">
        <f t="shared" si="7"/>
        <v>4</v>
      </c>
      <c r="X41">
        <f t="shared" si="7"/>
        <v>4</v>
      </c>
      <c r="Y41">
        <f t="shared" si="7"/>
        <v>4</v>
      </c>
      <c r="Z41" s="160"/>
    </row>
    <row r="42" spans="1:27">
      <c r="P42" s="156" t="s">
        <v>105</v>
      </c>
      <c r="Q42" s="113">
        <f t="shared" ref="Q42:Z42" si="8">IF(Q33&lt;=an,VLOOKUP(an-Q33,tab_usure,2,FALSE),"")</f>
        <v>0</v>
      </c>
      <c r="R42" s="113">
        <f t="shared" si="8"/>
        <v>0</v>
      </c>
      <c r="S42" s="113">
        <f t="shared" si="8"/>
        <v>0.7</v>
      </c>
      <c r="T42" s="113">
        <f t="shared" si="8"/>
        <v>0.8</v>
      </c>
      <c r="U42" s="113">
        <f t="shared" si="8"/>
        <v>0.9</v>
      </c>
      <c r="V42" s="113">
        <f t="shared" si="8"/>
        <v>1</v>
      </c>
      <c r="W42" s="113">
        <f t="shared" si="8"/>
        <v>1</v>
      </c>
      <c r="X42" s="113" t="str">
        <f t="shared" si="8"/>
        <v/>
      </c>
      <c r="Y42" s="113" t="str">
        <f t="shared" si="8"/>
        <v/>
      </c>
      <c r="Z42" s="161" t="str">
        <f t="shared" si="8"/>
        <v/>
      </c>
    </row>
    <row r="43" spans="1:27">
      <c r="P43" s="156" t="s">
        <v>94</v>
      </c>
      <c r="Q43">
        <f t="shared" ref="Q43:Y43" si="9">IF(Q33&lt;=an,Q37*Q42*capac_station,"")</f>
        <v>0</v>
      </c>
      <c r="R43">
        <f t="shared" si="9"/>
        <v>0</v>
      </c>
      <c r="S43">
        <f t="shared" si="9"/>
        <v>0</v>
      </c>
      <c r="T43">
        <f t="shared" si="9"/>
        <v>0</v>
      </c>
      <c r="U43">
        <f t="shared" si="9"/>
        <v>0</v>
      </c>
      <c r="V43">
        <f t="shared" si="9"/>
        <v>4000</v>
      </c>
      <c r="W43">
        <f t="shared" si="9"/>
        <v>6000</v>
      </c>
      <c r="X43" t="str">
        <f t="shared" si="9"/>
        <v/>
      </c>
      <c r="Y43" t="str">
        <f t="shared" si="9"/>
        <v/>
      </c>
      <c r="Z43" s="160">
        <f>SUM(Q43:Y43)</f>
        <v>10000</v>
      </c>
    </row>
    <row r="44" spans="1:27">
      <c r="P44" s="156" t="s">
        <v>106</v>
      </c>
      <c r="Q44">
        <f t="shared" ref="Q44:Z44" si="10">IF(Q33&lt;=an,(1-Q36)*Px_achat_station,"")</f>
        <v>0</v>
      </c>
      <c r="R44">
        <f t="shared" si="10"/>
        <v>0</v>
      </c>
      <c r="S44">
        <f t="shared" si="10"/>
        <v>3999.9999999999991</v>
      </c>
      <c r="T44">
        <f t="shared" si="10"/>
        <v>8000</v>
      </c>
      <c r="U44">
        <f t="shared" si="10"/>
        <v>12000</v>
      </c>
      <c r="V44">
        <f t="shared" si="10"/>
        <v>16000</v>
      </c>
      <c r="W44">
        <f t="shared" si="10"/>
        <v>20000</v>
      </c>
      <c r="X44" t="str">
        <f t="shared" si="10"/>
        <v/>
      </c>
      <c r="Y44" t="str">
        <f t="shared" si="10"/>
        <v/>
      </c>
      <c r="Z44" s="160" t="str">
        <f t="shared" si="10"/>
        <v/>
      </c>
      <c r="AA44">
        <f>Z35-Z45</f>
        <v>3</v>
      </c>
    </row>
    <row r="45" spans="1:27">
      <c r="P45" s="156" t="s">
        <v>107</v>
      </c>
      <c r="Q45">
        <f>IF(Q33&lt;an,IF(Q41&lt;=$AA$44,0,MIN(Q40-$AA$44,Z45)),"")</f>
        <v>0</v>
      </c>
      <c r="R45">
        <f t="shared" ref="R45:Y45" si="11">IF(R33&lt;an,IF(R41&lt;=$AA$44,0,MIN(R40,MAX(0,$Z$45-Q46))),"")</f>
        <v>0</v>
      </c>
      <c r="S45">
        <f t="shared" si="11"/>
        <v>0</v>
      </c>
      <c r="T45">
        <f t="shared" si="11"/>
        <v>1</v>
      </c>
      <c r="U45">
        <f t="shared" si="11"/>
        <v>0</v>
      </c>
      <c r="V45">
        <f t="shared" si="11"/>
        <v>0</v>
      </c>
      <c r="W45" t="str">
        <f t="shared" si="11"/>
        <v/>
      </c>
      <c r="X45" t="str">
        <f t="shared" si="11"/>
        <v/>
      </c>
      <c r="Y45" t="str">
        <f t="shared" si="11"/>
        <v/>
      </c>
      <c r="Z45" s="160">
        <f>HLOOKUP(an,$Q$33:$Y$35,3,FALSE)</f>
        <v>1</v>
      </c>
    </row>
    <row r="46" spans="1:27">
      <c r="P46" s="158" t="s">
        <v>108</v>
      </c>
      <c r="Q46">
        <f>Q45</f>
        <v>0</v>
      </c>
      <c r="R46">
        <f t="shared" ref="R46:Y46" si="12">IF(R33&lt;an,Q46+R45,"")</f>
        <v>0</v>
      </c>
      <c r="S46">
        <f t="shared" si="12"/>
        <v>0</v>
      </c>
      <c r="T46">
        <f t="shared" si="12"/>
        <v>1</v>
      </c>
      <c r="U46">
        <f t="shared" si="12"/>
        <v>1</v>
      </c>
      <c r="V46">
        <f t="shared" si="12"/>
        <v>1</v>
      </c>
      <c r="W46" t="str">
        <f t="shared" si="12"/>
        <v/>
      </c>
      <c r="X46" t="str">
        <f t="shared" si="12"/>
        <v/>
      </c>
      <c r="Y46" t="str">
        <f t="shared" si="12"/>
        <v/>
      </c>
      <c r="Z46" s="160"/>
    </row>
    <row r="47" spans="1:27">
      <c r="P47" s="156" t="s">
        <v>109</v>
      </c>
      <c r="Q47">
        <f t="shared" ref="Q47:Y47" si="13">IF(Q33&lt;an,Q45*Q44,"")</f>
        <v>0</v>
      </c>
      <c r="R47">
        <f t="shared" si="13"/>
        <v>0</v>
      </c>
      <c r="S47">
        <f t="shared" si="13"/>
        <v>0</v>
      </c>
      <c r="T47">
        <f t="shared" si="13"/>
        <v>8000</v>
      </c>
      <c r="U47">
        <f t="shared" si="13"/>
        <v>0</v>
      </c>
      <c r="V47">
        <f t="shared" si="13"/>
        <v>0</v>
      </c>
      <c r="W47" t="str">
        <f t="shared" si="13"/>
        <v/>
      </c>
      <c r="X47" t="str">
        <f t="shared" si="13"/>
        <v/>
      </c>
      <c r="Y47" t="str">
        <f t="shared" si="13"/>
        <v/>
      </c>
      <c r="Z47" s="160">
        <f>SUM(Q47:Y47)</f>
        <v>8000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L34"/>
  <sheetViews>
    <sheetView topLeftCell="A18" zoomScale="80" zoomScaleNormal="80" zoomScalePageLayoutView="80" workbookViewId="0">
      <selection activeCell="B32" sqref="B32"/>
    </sheetView>
  </sheetViews>
  <sheetFormatPr baseColWidth="10" defaultColWidth="11.44140625" defaultRowHeight="13.8"/>
  <cols>
    <col min="1" max="1" width="30.6640625" style="4" customWidth="1"/>
    <col min="2" max="2" width="13.33203125" style="17" customWidth="1"/>
    <col min="3" max="8" width="13.33203125" style="4" customWidth="1"/>
    <col min="9" max="11" width="12.6640625" style="4" customWidth="1"/>
    <col min="12" max="16384" width="11.44140625" style="4"/>
  </cols>
  <sheetData>
    <row r="1" spans="1:12" s="23" customFormat="1" ht="17.399999999999999">
      <c r="A1" s="23" t="s">
        <v>110</v>
      </c>
      <c r="B1" s="51" t="s">
        <v>111</v>
      </c>
      <c r="C1" s="54">
        <f>Décisions!$C$2</f>
        <v>0</v>
      </c>
      <c r="D1" s="52" t="s">
        <v>37</v>
      </c>
      <c r="E1" s="54">
        <f>Décisions!$F$2</f>
        <v>1</v>
      </c>
      <c r="F1" s="52"/>
      <c r="G1" s="51" t="s">
        <v>112</v>
      </c>
      <c r="H1" s="53">
        <f>an</f>
        <v>7</v>
      </c>
    </row>
    <row r="2" spans="1:12" s="23" customFormat="1" ht="17.399999999999999">
      <c r="A2" s="50"/>
      <c r="B2" s="51"/>
      <c r="C2" s="54"/>
      <c r="D2" s="52"/>
      <c r="E2" s="54"/>
      <c r="F2" s="52"/>
      <c r="G2" s="51"/>
      <c r="H2" s="53"/>
    </row>
    <row r="3" spans="1:12" s="23" customFormat="1" ht="17.399999999999999">
      <c r="A3" s="53" t="s">
        <v>113</v>
      </c>
      <c r="B3" s="195" t="s">
        <v>114</v>
      </c>
      <c r="C3" s="195"/>
      <c r="D3" s="195"/>
      <c r="E3" s="195"/>
      <c r="F3" s="195"/>
      <c r="G3" s="195"/>
      <c r="H3" s="195"/>
    </row>
    <row r="4" spans="1:12" ht="14.4" thickBot="1"/>
    <row r="5" spans="1:12" ht="27.75" customHeight="1" thickBot="1">
      <c r="A5" s="48" t="s">
        <v>115</v>
      </c>
      <c r="B5" s="49" t="s">
        <v>76</v>
      </c>
      <c r="C5" s="89">
        <v>1</v>
      </c>
      <c r="D5" s="90">
        <v>2</v>
      </c>
      <c r="E5" s="91">
        <v>3</v>
      </c>
      <c r="F5" s="92">
        <v>4</v>
      </c>
      <c r="G5" s="93">
        <v>5</v>
      </c>
      <c r="H5" s="94">
        <v>6</v>
      </c>
      <c r="I5"/>
    </row>
    <row r="6" spans="1:12" ht="27.75" customHeight="1">
      <c r="A6" s="5" t="s">
        <v>98</v>
      </c>
      <c r="B6" s="74">
        <f>SUM(C6:H6)</f>
        <v>1239000</v>
      </c>
      <c r="C6" s="75">
        <f>'Validation décisions'!J4*'Validation décisions'!J7</f>
        <v>162000</v>
      </c>
      <c r="D6" s="75">
        <f>'Validation décisions'!K4*'Validation décisions'!K7</f>
        <v>162000</v>
      </c>
      <c r="E6" s="75">
        <f>'Validation décisions'!L4*'Validation décisions'!L7</f>
        <v>112500</v>
      </c>
      <c r="F6" s="75">
        <f>'Validation décisions'!M4*'Validation décisions'!M7</f>
        <v>525000</v>
      </c>
      <c r="G6" s="75">
        <f>'Validation décisions'!N4*'Validation décisions'!N7</f>
        <v>67500</v>
      </c>
      <c r="H6" s="76">
        <f>'Validation décisions'!O4*'Validation décisions'!O7</f>
        <v>210000</v>
      </c>
      <c r="K6" s="152"/>
      <c r="L6"/>
    </row>
    <row r="7" spans="1:12" ht="27.75" customHeight="1">
      <c r="A7" s="7" t="s">
        <v>116</v>
      </c>
      <c r="B7" s="74">
        <f t="shared" ref="B7:B8" si="0">SUM(C7:H7)</f>
        <v>0</v>
      </c>
      <c r="C7" s="77"/>
      <c r="D7" s="77"/>
      <c r="E7" s="77"/>
      <c r="F7" s="77"/>
      <c r="G7" s="77"/>
      <c r="H7" s="78"/>
      <c r="K7"/>
      <c r="L7"/>
    </row>
    <row r="8" spans="1:12" ht="27.75" customHeight="1" thickBot="1">
      <c r="A8" s="126" t="s">
        <v>117</v>
      </c>
      <c r="B8" s="127">
        <f t="shared" si="0"/>
        <v>1239000</v>
      </c>
      <c r="C8" s="128">
        <f>C6+C7</f>
        <v>162000</v>
      </c>
      <c r="D8" s="128">
        <f t="shared" ref="D8:H8" si="1">D6+D7</f>
        <v>162000</v>
      </c>
      <c r="E8" s="128">
        <f t="shared" si="1"/>
        <v>112500</v>
      </c>
      <c r="F8" s="128">
        <f t="shared" si="1"/>
        <v>525000</v>
      </c>
      <c r="G8" s="128">
        <f t="shared" si="1"/>
        <v>67500</v>
      </c>
      <c r="H8" s="129">
        <f t="shared" si="1"/>
        <v>210000</v>
      </c>
      <c r="K8"/>
      <c r="L8"/>
    </row>
    <row r="9" spans="1:12" ht="27.75" customHeight="1" thickTop="1">
      <c r="A9" s="116" t="s">
        <v>118</v>
      </c>
      <c r="B9" s="123"/>
      <c r="C9" s="124"/>
      <c r="D9" s="124"/>
      <c r="E9" s="124"/>
      <c r="F9" s="124"/>
      <c r="G9" s="124"/>
      <c r="H9" s="125"/>
      <c r="K9"/>
      <c r="L9"/>
    </row>
    <row r="10" spans="1:12" ht="27.75" customHeight="1" thickBot="1">
      <c r="A10" s="5" t="s">
        <v>119</v>
      </c>
      <c r="B10" s="61">
        <f>SUM(C10:H10)</f>
        <v>493800</v>
      </c>
      <c r="C10" s="77">
        <f>ROUND('Validation décisions'!J7*HLOOKUP('Validation décisions'!J3,cout_comp,2,)*VLOOKUP('Validation décisions'!J5,tab_niveau,Paramètres!F3+1,)/100,0)</f>
        <v>28800</v>
      </c>
      <c r="D10" s="77">
        <f>ROUND('Validation décisions'!K7*HLOOKUP('Validation décisions'!K3,cout_comp,2,)*VLOOKUP('Validation décisions'!K5,tab_niveau,Paramètres!G3+1,)/100,0)</f>
        <v>84000</v>
      </c>
      <c r="E10" s="77">
        <f>ROUND('Validation décisions'!L7*HLOOKUP('Validation décisions'!L3,cout_comp,2,)*VLOOKUP('Validation décisions'!L5,tab_niveau,Paramètres!H3+1,)/100,0)</f>
        <v>0</v>
      </c>
      <c r="F10" s="77">
        <f>ROUND('Validation décisions'!M7*HLOOKUP('Validation décisions'!M3,cout_comp,2,)*VLOOKUP('Validation décisions'!M5,tab_niveau,Paramètres!I3+1,)/100,0)</f>
        <v>270000</v>
      </c>
      <c r="G10" s="77">
        <f>ROUND('Validation décisions'!N7*HLOOKUP('Validation décisions'!N3,cout_comp,2,)*VLOOKUP('Validation décisions'!N5,tab_niveau,Paramètres!J3+1,)/100,0)</f>
        <v>21000</v>
      </c>
      <c r="H10" s="79">
        <f>ROUND('Validation décisions'!O7*HLOOKUP('Validation décisions'!O3,cout_comp,2,)*VLOOKUP('Validation décisions'!O5,tab_niveau,Paramètres!K3+1,)/100,0)</f>
        <v>90000</v>
      </c>
      <c r="K10"/>
      <c r="L10"/>
    </row>
    <row r="11" spans="1:12" ht="27.75" customHeight="1">
      <c r="A11" s="18" t="s">
        <v>120</v>
      </c>
      <c r="B11" s="60"/>
      <c r="C11" s="142"/>
      <c r="D11" s="141"/>
      <c r="E11" s="141"/>
      <c r="F11" s="141"/>
      <c r="G11" s="141"/>
      <c r="H11" s="141"/>
      <c r="K11"/>
      <c r="L11"/>
    </row>
    <row r="12" spans="1:12" ht="27.75" customHeight="1">
      <c r="A12" s="7" t="s">
        <v>121</v>
      </c>
      <c r="B12" s="61">
        <f>Paramètres!$B$17*'Validation décisions'!$B$30</f>
        <v>10000</v>
      </c>
      <c r="C12" s="140"/>
      <c r="K12"/>
      <c r="L12"/>
    </row>
    <row r="13" spans="1:12" ht="27.75" customHeight="1">
      <c r="A13" s="7" t="s">
        <v>29</v>
      </c>
      <c r="B13" s="61">
        <f>Décisions!$C$19+Décisions!$C$20+'Validation décisions'!$P$8</f>
        <v>81000</v>
      </c>
      <c r="C13" s="140"/>
    </row>
    <row r="14" spans="1:12" ht="27.75" customHeight="1">
      <c r="A14" s="7" t="s">
        <v>122</v>
      </c>
      <c r="B14" s="61">
        <f>Décisions!$I$15+Décisions!$I$16</f>
        <v>35000</v>
      </c>
      <c r="C14" s="140"/>
    </row>
    <row r="15" spans="1:12" ht="27.75" customHeight="1">
      <c r="A15" s="7" t="s">
        <v>123</v>
      </c>
      <c r="B15" s="61">
        <f>SUMPRODUCT('Validation décisions'!J10:J20,'Validation décisions'!K10:K20)</f>
        <v>1000</v>
      </c>
      <c r="C15" s="140"/>
      <c r="D15" s="4" t="s">
        <v>124</v>
      </c>
    </row>
    <row r="16" spans="1:12" ht="27.75" customHeight="1" thickBot="1">
      <c r="A16" s="9" t="s">
        <v>76</v>
      </c>
      <c r="B16" s="80">
        <f>SUM(B12:B15)</f>
        <v>127000</v>
      </c>
      <c r="C16" s="143"/>
      <c r="D16" s="135"/>
      <c r="E16" s="135"/>
      <c r="F16" s="135"/>
      <c r="G16" s="135"/>
      <c r="H16" s="135"/>
    </row>
    <row r="17" spans="1:8" ht="27.75" customHeight="1">
      <c r="A17" s="18" t="s">
        <v>125</v>
      </c>
      <c r="B17" s="60"/>
      <c r="C17" s="144"/>
      <c r="D17" s="136"/>
      <c r="E17" s="136"/>
      <c r="F17" s="136"/>
      <c r="G17" s="136"/>
      <c r="H17" s="136"/>
    </row>
    <row r="18" spans="1:8" ht="27.75" customHeight="1">
      <c r="A18" s="7" t="s">
        <v>126</v>
      </c>
      <c r="B18" s="81">
        <f>'Validation décisions'!$B$26*Paramètres!$B$35*Décisions!F15/100</f>
        <v>226800</v>
      </c>
      <c r="C18" s="140"/>
    </row>
    <row r="19" spans="1:8" ht="27.75" customHeight="1">
      <c r="A19" s="7" t="s">
        <v>127</v>
      </c>
      <c r="B19" s="81">
        <f>'Validation décisions'!$B$14*Paramètres!$B$34*Décisions!F16/100</f>
        <v>81081</v>
      </c>
      <c r="C19" s="140"/>
    </row>
    <row r="20" spans="1:8" ht="27.75" customHeight="1" thickBot="1">
      <c r="A20" s="9" t="s">
        <v>76</v>
      </c>
      <c r="B20" s="82">
        <f>SUM(B18:B19)</f>
        <v>307881</v>
      </c>
      <c r="C20" s="143"/>
      <c r="D20" s="135"/>
      <c r="E20" s="135"/>
      <c r="F20" s="135"/>
      <c r="G20" s="135"/>
      <c r="H20" s="135"/>
    </row>
    <row r="21" spans="1:8" ht="27.75" customHeight="1">
      <c r="A21" s="19" t="s">
        <v>128</v>
      </c>
      <c r="B21" s="83">
        <f>'Validation décisions'!$B$30*Paramètres!$B$18/Paramètres!$B$20</f>
        <v>20000</v>
      </c>
      <c r="C21" s="140"/>
    </row>
    <row r="22" spans="1:8" ht="27.75" customHeight="1" thickBot="1">
      <c r="A22" s="126" t="s">
        <v>129</v>
      </c>
      <c r="B22" s="130">
        <f>B21+B20+B16+B10</f>
        <v>948681</v>
      </c>
      <c r="C22" s="145"/>
      <c r="D22" s="137"/>
      <c r="E22" s="137"/>
      <c r="F22" s="137"/>
      <c r="G22" s="137"/>
      <c r="H22" s="137"/>
    </row>
    <row r="23" spans="1:8" ht="27.75" customHeight="1" thickTop="1" thickBot="1">
      <c r="A23" s="131" t="s">
        <v>130</v>
      </c>
      <c r="B23" s="132">
        <f>B8-B22</f>
        <v>290319</v>
      </c>
      <c r="C23" s="146"/>
      <c r="D23" s="138"/>
      <c r="E23" s="138"/>
      <c r="F23" s="138"/>
      <c r="G23" s="138"/>
      <c r="H23" s="138"/>
    </row>
    <row r="24" spans="1:8" ht="27.75" customHeight="1" thickTop="1">
      <c r="A24" s="19" t="s">
        <v>131</v>
      </c>
      <c r="B24" s="74">
        <f>'Validation décisions'!$B$35*Paramètres!$B$49</f>
        <v>0</v>
      </c>
      <c r="C24" s="140"/>
    </row>
    <row r="25" spans="1:8" ht="27.75" customHeight="1">
      <c r="A25" s="11" t="s">
        <v>132</v>
      </c>
      <c r="B25" s="85">
        <f>Décisions!$F$43*Paramètres!$B$46+(Décisions!$F$42+Décisions!$B$27)*Paramètres!$B$47</f>
        <v>5152.8</v>
      </c>
      <c r="C25" s="140"/>
    </row>
    <row r="26" spans="1:8" ht="27.75" customHeight="1" thickBot="1">
      <c r="A26" s="21" t="s">
        <v>133</v>
      </c>
      <c r="B26" s="86">
        <f>B24-B25</f>
        <v>-5152.8</v>
      </c>
      <c r="C26" s="140"/>
    </row>
    <row r="27" spans="1:8" ht="27.75" customHeight="1">
      <c r="A27" s="20" t="s">
        <v>134</v>
      </c>
      <c r="B27" s="84">
        <f>Px_cession_station*(MAX(0,-Décisions!$C$23)+Décisions!$C$24)</f>
        <v>2000</v>
      </c>
      <c r="C27" s="140"/>
    </row>
    <row r="28" spans="1:8" ht="27.75" customHeight="1">
      <c r="A28" s="11" t="s">
        <v>135</v>
      </c>
      <c r="B28" s="61">
        <f>val_nette_stat_cedees+'Validation décisions'!$K$28</f>
        <v>11300</v>
      </c>
      <c r="C28" s="140"/>
    </row>
    <row r="29" spans="1:8" ht="27.75" customHeight="1" thickBot="1">
      <c r="A29" s="133" t="s">
        <v>136</v>
      </c>
      <c r="B29" s="127">
        <f>B27-B28</f>
        <v>-9300</v>
      </c>
      <c r="C29" s="140"/>
    </row>
    <row r="30" spans="1:8" ht="27.75" customHeight="1" thickTop="1">
      <c r="A30" s="22" t="s">
        <v>137</v>
      </c>
      <c r="B30" s="74">
        <f>B8-B22+B26+B29</f>
        <v>275866.2</v>
      </c>
      <c r="C30" s="140"/>
    </row>
    <row r="31" spans="1:8" ht="27.75" customHeight="1">
      <c r="A31" s="11" t="s">
        <v>138</v>
      </c>
      <c r="B31" s="85">
        <f>IF(B30&lt;Décisions!$B$49,0,ROUND(($B$30-Décisions!$B$49)*Paramètres!$B$45,0))</f>
        <v>68967</v>
      </c>
      <c r="C31" s="140"/>
    </row>
    <row r="32" spans="1:8" ht="27.75" customHeight="1" thickBot="1">
      <c r="A32" s="134" t="s">
        <v>139</v>
      </c>
      <c r="B32" s="130">
        <f>B30-B31</f>
        <v>206899.20000000001</v>
      </c>
      <c r="C32" s="147"/>
      <c r="D32" s="139"/>
      <c r="E32" s="139"/>
      <c r="F32" s="139"/>
      <c r="G32" s="139"/>
      <c r="H32" s="139"/>
    </row>
    <row r="33" ht="15" customHeight="1" thickTop="1"/>
    <row r="34" ht="15" customHeight="1"/>
  </sheetData>
  <mergeCells count="1">
    <mergeCell ref="B3:H3"/>
  </mergeCells>
  <phoneticPr fontId="0" type="noConversion"/>
  <pageMargins left="0.28999999999999998" right="0.25" top="0.92" bottom="0.2" header="0.26" footer="0.2"/>
  <pageSetup paperSize="9" scale="87" orientation="portrait" horizontalDpi="4294967293" r:id="rId1"/>
  <headerFooter alignWithMargins="0">
    <oddHeader>&amp;L&amp;"Arial Narrow,Normal"&amp;14&amp;D&amp;C&amp;"Arial Narrow,Gras"&amp;16Support de présentation du compte de résultat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J29"/>
  <sheetViews>
    <sheetView topLeftCell="A2" workbookViewId="0">
      <selection activeCell="I6" sqref="I6"/>
    </sheetView>
  </sheetViews>
  <sheetFormatPr baseColWidth="10" defaultColWidth="11.44140625" defaultRowHeight="13.8"/>
  <cols>
    <col min="1" max="1" width="33.88671875" style="4" customWidth="1"/>
    <col min="2" max="2" width="13.33203125" style="4" customWidth="1"/>
    <col min="3" max="3" width="29.33203125" style="4" customWidth="1"/>
    <col min="4" max="4" width="15.44140625" style="4" customWidth="1"/>
    <col min="5" max="16384" width="11.44140625" style="4"/>
  </cols>
  <sheetData>
    <row r="1" spans="1:10" s="1" customFormat="1" ht="30" customHeight="1">
      <c r="A1" s="23" t="s">
        <v>110</v>
      </c>
      <c r="B1" s="51" t="s">
        <v>111</v>
      </c>
      <c r="C1" s="54">
        <f>Décisions!$C$2</f>
        <v>0</v>
      </c>
      <c r="D1" s="52" t="s">
        <v>37</v>
      </c>
      <c r="E1" s="54">
        <f>Décisions!$F$2</f>
        <v>1</v>
      </c>
      <c r="F1" s="52"/>
    </row>
    <row r="2" spans="1:10" s="1" customFormat="1" ht="30" customHeight="1">
      <c r="A2" s="23"/>
      <c r="B2" s="51"/>
      <c r="C2" s="51" t="s">
        <v>112</v>
      </c>
      <c r="D2" s="53">
        <f>an</f>
        <v>7</v>
      </c>
      <c r="E2" s="54"/>
      <c r="F2" s="52"/>
      <c r="G2" s="51"/>
      <c r="H2" s="53"/>
    </row>
    <row r="3" spans="1:10" s="1" customFormat="1" ht="30" customHeight="1">
      <c r="A3" s="23"/>
      <c r="B3" s="51"/>
      <c r="C3" s="51"/>
      <c r="D3" s="53"/>
      <c r="E3" s="54"/>
      <c r="F3" s="52"/>
      <c r="G3" s="51"/>
      <c r="H3" s="53"/>
    </row>
    <row r="4" spans="1:10" s="1" customFormat="1" ht="30" customHeight="1">
      <c r="A4" s="53" t="s">
        <v>113</v>
      </c>
      <c r="B4" s="195" t="s">
        <v>140</v>
      </c>
      <c r="C4" s="195"/>
      <c r="D4" s="195"/>
      <c r="E4" s="195"/>
      <c r="F4" s="195"/>
      <c r="G4" s="195"/>
      <c r="H4" s="195"/>
    </row>
    <row r="5" spans="1:10" s="1" customFormat="1" ht="30" customHeight="1" thickBot="1">
      <c r="A5" s="196" t="s">
        <v>61</v>
      </c>
      <c r="B5" s="196"/>
      <c r="C5" s="196" t="s">
        <v>62</v>
      </c>
      <c r="D5" s="196"/>
    </row>
    <row r="6" spans="1:10" ht="21" customHeight="1">
      <c r="A6" s="48" t="s">
        <v>141</v>
      </c>
      <c r="B6" s="3"/>
      <c r="C6" s="117" t="s">
        <v>142</v>
      </c>
      <c r="D6" s="118"/>
      <c r="J6" s="63">
        <f>B11+B13</f>
        <v>72000</v>
      </c>
    </row>
    <row r="7" spans="1:10" ht="23.25" customHeight="1">
      <c r="A7" s="5" t="s">
        <v>143</v>
      </c>
      <c r="B7" s="6"/>
      <c r="C7" s="11" t="s">
        <v>64</v>
      </c>
      <c r="D7" s="119">
        <f>Décisions!$F$39+Décisions!$B$29</f>
        <v>0</v>
      </c>
      <c r="J7" s="63">
        <f>D10+D12+D13</f>
        <v>291759.2</v>
      </c>
    </row>
    <row r="8" spans="1:10" ht="23.25" customHeight="1">
      <c r="A8" s="7" t="s">
        <v>144</v>
      </c>
      <c r="B8" s="6">
        <f>Px_achat_station*'Validation décisions'!$Z$37</f>
        <v>100000</v>
      </c>
      <c r="C8" s="11" t="s">
        <v>66</v>
      </c>
      <c r="D8" s="119">
        <f>Décisions!$F$40+Décisions!$F$41</f>
        <v>15893</v>
      </c>
    </row>
    <row r="9" spans="1:10" ht="23.25" customHeight="1">
      <c r="A9" s="8" t="s">
        <v>145</v>
      </c>
      <c r="B9" s="6">
        <f>amort_stat_restantes</f>
        <v>28000</v>
      </c>
      <c r="C9" s="11" t="s">
        <v>67</v>
      </c>
      <c r="D9" s="119">
        <f>' Compte de Résultats'!$B$32</f>
        <v>206899.20000000001</v>
      </c>
    </row>
    <row r="10" spans="1:10" ht="23.25" customHeight="1" thickBot="1">
      <c r="A10" s="8" t="s">
        <v>146</v>
      </c>
      <c r="B10" s="6">
        <f>B8-B9</f>
        <v>72000</v>
      </c>
      <c r="C10" s="15" t="s">
        <v>147</v>
      </c>
      <c r="D10" s="120">
        <f>SUM(D7:D9)</f>
        <v>222792.2</v>
      </c>
    </row>
    <row r="11" spans="1:10" ht="23.25" customHeight="1" thickBot="1">
      <c r="A11" s="15" t="s">
        <v>148</v>
      </c>
      <c r="B11" s="10">
        <f>B10</f>
        <v>72000</v>
      </c>
      <c r="C11" s="13" t="s">
        <v>149</v>
      </c>
      <c r="D11" s="118"/>
    </row>
    <row r="12" spans="1:10" ht="23.25" customHeight="1">
      <c r="A12" s="14" t="s">
        <v>150</v>
      </c>
      <c r="B12" s="2"/>
      <c r="C12" s="11" t="s">
        <v>151</v>
      </c>
      <c r="D12" s="119">
        <f>Décisions!$F$42-Décisions!$B$46+Décisions!$F$42*Paramètres!$B$47+Emprunts!$F$9</f>
        <v>0</v>
      </c>
    </row>
    <row r="13" spans="1:10" ht="23.25" customHeight="1">
      <c r="A13" s="11" t="s">
        <v>65</v>
      </c>
      <c r="B13" s="62">
        <f>Décisions!$B$28</f>
        <v>0</v>
      </c>
      <c r="C13" s="11" t="s">
        <v>152</v>
      </c>
      <c r="D13" s="121">
        <f>' Compte de Résultats'!$B$31</f>
        <v>68967</v>
      </c>
    </row>
    <row r="14" spans="1:10" ht="23.25" customHeight="1">
      <c r="A14" s="11" t="s">
        <v>153</v>
      </c>
      <c r="B14" s="62">
        <f>IF(J7&gt;J6,J7-J6,0)</f>
        <v>219759.2</v>
      </c>
      <c r="C14" s="11" t="s">
        <v>154</v>
      </c>
      <c r="D14" s="119">
        <f>IF(J6&gt;J7,J6-J7,0)</f>
        <v>0</v>
      </c>
    </row>
    <row r="15" spans="1:10" ht="23.25" customHeight="1" thickBot="1">
      <c r="A15" s="15" t="s">
        <v>155</v>
      </c>
      <c r="B15" s="64">
        <f>B13+B14</f>
        <v>219759.2</v>
      </c>
      <c r="C15" s="15" t="s">
        <v>156</v>
      </c>
      <c r="D15" s="122">
        <f>SUM(D12:D14)</f>
        <v>68967</v>
      </c>
    </row>
    <row r="16" spans="1:10" ht="23.25" customHeight="1" thickBot="1">
      <c r="A16" s="12" t="s">
        <v>157</v>
      </c>
      <c r="B16" s="64">
        <f>B11+B15</f>
        <v>291759.2</v>
      </c>
      <c r="C16" s="16" t="s">
        <v>158</v>
      </c>
      <c r="D16" s="120">
        <f>D10+D15</f>
        <v>291759.2</v>
      </c>
    </row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15" customHeight="1"/>
    <row r="29" ht="15" customHeight="1"/>
  </sheetData>
  <mergeCells count="3">
    <mergeCell ref="A5:B5"/>
    <mergeCell ref="C5:D5"/>
    <mergeCell ref="B4:H4"/>
  </mergeCells>
  <phoneticPr fontId="0" type="noConversion"/>
  <pageMargins left="0.27559055118110237" right="0.23622047244094491" top="1.02" bottom="0.19685039370078741" header="0.19685039370078741" footer="0.19685039370078741"/>
  <pageSetup paperSize="9" scale="87" orientation="portrait" horizontalDpi="4294967293" r:id="rId1"/>
  <headerFooter alignWithMargins="0">
    <oddHeader>&amp;L&amp;"Arial Narrow,Normal"&amp;14&amp;D&amp;C&amp;"Arial Narrow,Gras"&amp;16Support de présentation du bilan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H22"/>
  <sheetViews>
    <sheetView workbookViewId="0">
      <selection activeCell="B3" sqref="B3"/>
    </sheetView>
  </sheetViews>
  <sheetFormatPr baseColWidth="10" defaultColWidth="11.44140625" defaultRowHeight="13.2"/>
  <cols>
    <col min="1" max="1" width="24.44140625" customWidth="1"/>
    <col min="2" max="2" width="15.109375" customWidth="1"/>
    <col min="4" max="4" width="13.109375" customWidth="1"/>
    <col min="5" max="5" width="16.109375" customWidth="1"/>
    <col min="6" max="6" width="19" customWidth="1"/>
  </cols>
  <sheetData>
    <row r="1" spans="1:6" ht="24">
      <c r="A1" s="65" t="s">
        <v>159</v>
      </c>
    </row>
    <row r="3" spans="1:6" ht="13.8">
      <c r="A3" t="s">
        <v>50</v>
      </c>
      <c r="B3" s="40">
        <f>Décisions!$B$27</f>
        <v>0</v>
      </c>
      <c r="D3" s="67" t="s">
        <v>160</v>
      </c>
      <c r="E3" s="68">
        <f>Paramètres!$B$47</f>
        <v>0.06</v>
      </c>
    </row>
    <row r="4" spans="1:6">
      <c r="D4" s="67" t="s">
        <v>161</v>
      </c>
      <c r="E4" s="69">
        <f>Paramètres!$B$48</f>
        <v>5</v>
      </c>
    </row>
    <row r="6" spans="1:6">
      <c r="A6" t="s">
        <v>162</v>
      </c>
      <c r="B6" s="66">
        <f>ROUND(-PMT($E$3,E4,B3),2)</f>
        <v>0</v>
      </c>
    </row>
    <row r="8" spans="1:6" s="45" customFormat="1" ht="15">
      <c r="A8" s="72" t="s">
        <v>112</v>
      </c>
      <c r="B8" s="72" t="s">
        <v>163</v>
      </c>
      <c r="C8" s="72" t="s">
        <v>162</v>
      </c>
      <c r="D8" s="72" t="s">
        <v>164</v>
      </c>
      <c r="E8" s="72" t="s">
        <v>145</v>
      </c>
      <c r="F8" s="72" t="s">
        <v>165</v>
      </c>
    </row>
    <row r="9" spans="1:6" ht="15">
      <c r="A9" s="70">
        <v>1</v>
      </c>
      <c r="B9" s="71">
        <f>B3</f>
        <v>0</v>
      </c>
      <c r="C9" s="71">
        <f>$B$6</f>
        <v>0</v>
      </c>
      <c r="D9" s="71">
        <f>ROUND($E$3*B9,2)</f>
        <v>0</v>
      </c>
      <c r="E9" s="71">
        <f>C9-D9</f>
        <v>0</v>
      </c>
      <c r="F9" s="71">
        <f>B9-E9</f>
        <v>0</v>
      </c>
    </row>
    <row r="10" spans="1:6" ht="15">
      <c r="A10" s="70">
        <v>2</v>
      </c>
      <c r="B10" s="71">
        <f>F9</f>
        <v>0</v>
      </c>
      <c r="C10" s="71">
        <f>$B$6</f>
        <v>0</v>
      </c>
      <c r="D10" s="71">
        <f>ROUND($E$3*B10,2)</f>
        <v>0</v>
      </c>
      <c r="E10" s="71">
        <f>C10-D10</f>
        <v>0</v>
      </c>
      <c r="F10" s="71">
        <f>B10-E10</f>
        <v>0</v>
      </c>
    </row>
    <row r="11" spans="1:6" ht="15">
      <c r="A11" s="70">
        <v>3</v>
      </c>
      <c r="B11" s="71">
        <f t="shared" ref="B11:B13" si="0">F10</f>
        <v>0</v>
      </c>
      <c r="C11" s="71">
        <f t="shared" ref="C11:C13" si="1">$B$6</f>
        <v>0</v>
      </c>
      <c r="D11" s="71">
        <f t="shared" ref="D11:D13" si="2">ROUND($E$3*B11,2)</f>
        <v>0</v>
      </c>
      <c r="E11" s="71">
        <f t="shared" ref="E11:E13" si="3">C11-D11</f>
        <v>0</v>
      </c>
      <c r="F11" s="71">
        <f t="shared" ref="F11:F13" si="4">B11-E11</f>
        <v>0</v>
      </c>
    </row>
    <row r="12" spans="1:6" ht="15">
      <c r="A12" s="70">
        <v>4</v>
      </c>
      <c r="B12" s="71">
        <f t="shared" si="0"/>
        <v>0</v>
      </c>
      <c r="C12" s="71">
        <f t="shared" si="1"/>
        <v>0</v>
      </c>
      <c r="D12" s="71">
        <f t="shared" si="2"/>
        <v>0</v>
      </c>
      <c r="E12" s="71">
        <f t="shared" si="3"/>
        <v>0</v>
      </c>
      <c r="F12" s="71">
        <f t="shared" si="4"/>
        <v>0</v>
      </c>
    </row>
    <row r="13" spans="1:6" ht="15">
      <c r="A13" s="70">
        <v>5</v>
      </c>
      <c r="B13" s="71">
        <f t="shared" si="0"/>
        <v>0</v>
      </c>
      <c r="C13" s="71">
        <f t="shared" si="1"/>
        <v>0</v>
      </c>
      <c r="D13" s="71">
        <f t="shared" si="2"/>
        <v>0</v>
      </c>
      <c r="E13" s="71">
        <f t="shared" si="3"/>
        <v>0</v>
      </c>
      <c r="F13" s="71">
        <f t="shared" si="4"/>
        <v>0</v>
      </c>
    </row>
    <row r="18" spans="5:8">
      <c r="E18" s="59"/>
      <c r="F18" s="59"/>
      <c r="G18" s="59"/>
      <c r="H18" s="59"/>
    </row>
    <row r="19" spans="5:8">
      <c r="E19" s="59"/>
      <c r="F19" s="59"/>
      <c r="G19" s="59"/>
      <c r="H19" s="59"/>
    </row>
    <row r="20" spans="5:8">
      <c r="E20" s="59"/>
      <c r="F20" s="59"/>
      <c r="G20" s="59"/>
      <c r="H20" s="59"/>
    </row>
    <row r="21" spans="5:8">
      <c r="E21" s="59"/>
      <c r="F21" s="59"/>
      <c r="G21" s="59"/>
      <c r="H21" s="59"/>
    </row>
    <row r="22" spans="5:8">
      <c r="E22" s="59"/>
      <c r="F22" s="59"/>
      <c r="G22" s="59"/>
      <c r="H22" s="5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P36"/>
  <sheetViews>
    <sheetView zoomScaleNormal="100" workbookViewId="0">
      <selection activeCell="D20" sqref="D20"/>
    </sheetView>
  </sheetViews>
  <sheetFormatPr baseColWidth="10" defaultColWidth="11.44140625" defaultRowHeight="13.2"/>
  <cols>
    <col min="1" max="1" width="34" bestFit="1" customWidth="1"/>
    <col min="4" max="4" width="12.44140625" bestFit="1" customWidth="1"/>
    <col min="9" max="9" width="22.44140625" bestFit="1" customWidth="1"/>
  </cols>
  <sheetData>
    <row r="1" spans="1:16" ht="17.399999999999999">
      <c r="A1" s="23" t="s">
        <v>110</v>
      </c>
      <c r="B1" s="51" t="s">
        <v>111</v>
      </c>
      <c r="C1" s="54">
        <f>Décisions!$C$2</f>
        <v>0</v>
      </c>
      <c r="D1" s="52" t="s">
        <v>37</v>
      </c>
      <c r="E1" s="54">
        <f>Décisions!$F$2</f>
        <v>1</v>
      </c>
      <c r="F1" s="52"/>
      <c r="G1" s="51" t="s">
        <v>112</v>
      </c>
      <c r="H1" s="53">
        <f>an</f>
        <v>7</v>
      </c>
      <c r="I1" s="53"/>
    </row>
    <row r="2" spans="1:16" ht="17.399999999999999">
      <c r="A2" s="50"/>
      <c r="B2" s="51"/>
      <c r="C2" s="54"/>
      <c r="D2" s="52"/>
      <c r="E2" s="54"/>
      <c r="F2" s="52"/>
      <c r="G2" s="51"/>
      <c r="H2" s="53"/>
      <c r="I2" s="53"/>
    </row>
    <row r="3" spans="1:16" ht="17.399999999999999">
      <c r="A3" s="53" t="s">
        <v>113</v>
      </c>
      <c r="B3" s="52" t="s">
        <v>166</v>
      </c>
      <c r="C3" s="52"/>
      <c r="D3" s="52"/>
      <c r="E3" s="52"/>
      <c r="F3" s="52"/>
      <c r="G3" s="52"/>
      <c r="H3" s="52"/>
      <c r="I3" s="52"/>
    </row>
    <row r="4" spans="1:16" ht="13.8" thickBot="1"/>
    <row r="5" spans="1:16" ht="22.5" customHeight="1" thickBot="1">
      <c r="B5" s="89">
        <v>1</v>
      </c>
      <c r="C5" s="90">
        <v>2</v>
      </c>
      <c r="D5" s="91">
        <v>3</v>
      </c>
      <c r="E5" s="92">
        <v>4</v>
      </c>
      <c r="F5" s="93">
        <v>5</v>
      </c>
      <c r="G5" s="94">
        <v>6</v>
      </c>
      <c r="J5" s="49" t="s">
        <v>76</v>
      </c>
      <c r="K5" s="89">
        <v>1</v>
      </c>
      <c r="L5" s="90">
        <v>2</v>
      </c>
      <c r="M5" s="91">
        <v>3</v>
      </c>
      <c r="N5" s="92">
        <v>4</v>
      </c>
      <c r="O5" s="93">
        <v>5</v>
      </c>
      <c r="P5" s="94">
        <v>6</v>
      </c>
    </row>
    <row r="6" spans="1:16" ht="16.2">
      <c r="A6" s="114" t="s">
        <v>167</v>
      </c>
      <c r="B6">
        <f>'Validation décisions'!J4</f>
        <v>135</v>
      </c>
      <c r="C6">
        <f>'Validation décisions'!K4</f>
        <v>1350</v>
      </c>
      <c r="D6">
        <f>'Validation décisions'!L4</f>
        <v>375</v>
      </c>
      <c r="E6">
        <f>'Validation décisions'!M4</f>
        <v>3500</v>
      </c>
      <c r="F6">
        <f>'Validation décisions'!N4</f>
        <v>2700</v>
      </c>
      <c r="G6">
        <f>'Validation décisions'!O4</f>
        <v>14000</v>
      </c>
      <c r="I6" s="97" t="s">
        <v>9</v>
      </c>
      <c r="J6">
        <f>SUM(K6:P6)</f>
        <v>1810</v>
      </c>
      <c r="K6">
        <f>'Validation décisions'!J7</f>
        <v>1200</v>
      </c>
      <c r="L6">
        <f>'Validation décisions'!K7</f>
        <v>120</v>
      </c>
      <c r="M6">
        <f>'Validation décisions'!L7</f>
        <v>300</v>
      </c>
      <c r="N6">
        <f>'Validation décisions'!M7</f>
        <v>150</v>
      </c>
      <c r="O6">
        <f>'Validation décisions'!N7</f>
        <v>25</v>
      </c>
      <c r="P6">
        <f>'Validation décisions'!O7</f>
        <v>15</v>
      </c>
    </row>
    <row r="8" spans="1:16" ht="16.2">
      <c r="A8" s="114" t="s">
        <v>168</v>
      </c>
      <c r="B8">
        <f>IF(B6&gt;0,Paramètres!F4*VLOOKUP('Validation décisions'!J5,tab_niveau,B5+1,)/100,"")</f>
        <v>24</v>
      </c>
      <c r="C8">
        <f>IF(C6&gt;0,Paramètres!G4*VLOOKUP('Validation décisions'!K5,tab_niveau,C5+1,)/100,"")</f>
        <v>700</v>
      </c>
      <c r="D8">
        <f>IF(D6&gt;0,Paramètres!H4*VLOOKUP('Validation décisions'!L5,tab_niveau,D5+1,)/100,"")</f>
        <v>0</v>
      </c>
      <c r="E8">
        <f>IF(E6&gt;0,Paramètres!I4*VLOOKUP('Validation décisions'!M5,tab_niveau,E5+1,)/100,"")</f>
        <v>1800</v>
      </c>
      <c r="F8">
        <f>IF(F6&gt;0,Paramètres!J4*VLOOKUP('Validation décisions'!N5,tab_niveau,F5+1,)/100,"")</f>
        <v>840</v>
      </c>
      <c r="G8">
        <f>IF(G6&gt;0,Paramètres!K4*VLOOKUP('Validation décisions'!O5,tab_niveau,G5+1,)/100,"")</f>
        <v>6000</v>
      </c>
      <c r="I8" s="95" t="s">
        <v>169</v>
      </c>
    </row>
    <row r="9" spans="1:16" ht="16.2">
      <c r="A9" s="114" t="s">
        <v>170</v>
      </c>
      <c r="B9" s="110">
        <f>IF(B6&gt;0,'Validation décisions'!J8/K6,"")</f>
        <v>0.83333333333333337</v>
      </c>
      <c r="C9" s="110">
        <f>IF(C6&gt;0,'Validation décisions'!K8/L6,"")</f>
        <v>25</v>
      </c>
      <c r="D9" s="110">
        <f>IF(D6&gt;0,'Validation décisions'!L8/M6,"")</f>
        <v>6.666666666666667</v>
      </c>
      <c r="E9" s="110">
        <f>IF(E6&gt;0,'Validation décisions'!M8/N6,"")</f>
        <v>26.666666666666668</v>
      </c>
      <c r="F9" s="110">
        <f>IF(F6&gt;0,'Validation décisions'!N8/O6,"")</f>
        <v>40</v>
      </c>
      <c r="G9" s="110">
        <f>IF(G6&gt;0,'Validation décisions'!O8/P6,"")</f>
        <v>333.33333333333331</v>
      </c>
      <c r="I9" s="95" t="s">
        <v>171</v>
      </c>
    </row>
    <row r="10" spans="1:16" ht="16.2">
      <c r="A10" s="114" t="s">
        <v>171</v>
      </c>
      <c r="B10" s="104">
        <f t="shared" ref="B10:G10" si="0">IF(B6&gt;0,$J$14/$J$6,"")</f>
        <v>50.320994475138122</v>
      </c>
      <c r="C10" s="104">
        <f t="shared" si="0"/>
        <v>50.320994475138122</v>
      </c>
      <c r="D10" s="104">
        <f t="shared" si="0"/>
        <v>50.320994475138122</v>
      </c>
      <c r="E10" s="104">
        <f t="shared" si="0"/>
        <v>50.320994475138122</v>
      </c>
      <c r="F10" s="104">
        <f t="shared" si="0"/>
        <v>50.320994475138122</v>
      </c>
      <c r="G10" s="104">
        <f t="shared" si="0"/>
        <v>50.320994475138122</v>
      </c>
      <c r="I10" s="100" t="s">
        <v>172</v>
      </c>
      <c r="J10" s="102" t="s">
        <v>173</v>
      </c>
    </row>
    <row r="11" spans="1:16" ht="16.2">
      <c r="A11" s="114" t="s">
        <v>174</v>
      </c>
      <c r="B11" s="110">
        <f t="shared" ref="B11:G11" si="1">IF(B6&gt;0,K21/K6,"")</f>
        <v>46.890130353817497</v>
      </c>
      <c r="C11" s="110">
        <f t="shared" si="1"/>
        <v>125.04034761018002</v>
      </c>
      <c r="D11" s="110">
        <f t="shared" si="1"/>
        <v>187.56052141526999</v>
      </c>
      <c r="E11" s="110">
        <f t="shared" si="1"/>
        <v>390.75108628181255</v>
      </c>
      <c r="F11" s="110">
        <f t="shared" si="1"/>
        <v>750.24208566108007</v>
      </c>
      <c r="G11" s="110">
        <f t="shared" si="1"/>
        <v>3126.0086902545004</v>
      </c>
      <c r="I11" s="111" t="s">
        <v>175</v>
      </c>
      <c r="J11" s="107">
        <f>SUM(K11:P11)</f>
        <v>1</v>
      </c>
      <c r="K11" s="103">
        <f>K6/$J$6</f>
        <v>0.66298342541436461</v>
      </c>
      <c r="L11" s="103">
        <f t="shared" ref="L11:P11" si="2">L6/$J$6</f>
        <v>6.6298342541436461E-2</v>
      </c>
      <c r="M11" s="103">
        <f t="shared" si="2"/>
        <v>0.16574585635359115</v>
      </c>
      <c r="N11" s="103">
        <f t="shared" si="2"/>
        <v>8.2872928176795577E-2</v>
      </c>
      <c r="O11" s="103">
        <f t="shared" si="2"/>
        <v>1.3812154696132596E-2</v>
      </c>
      <c r="P11" s="103">
        <f t="shared" si="2"/>
        <v>8.2872928176795577E-3</v>
      </c>
    </row>
    <row r="12" spans="1:16" ht="16.2">
      <c r="A12" s="114" t="s">
        <v>176</v>
      </c>
      <c r="B12" s="110">
        <f t="shared" ref="B12:G12" si="3">IF(B6&gt;0,K27/K6,"")</f>
        <v>5.5865921787709487</v>
      </c>
      <c r="C12" s="110">
        <f t="shared" si="3"/>
        <v>14.8975791433892</v>
      </c>
      <c r="D12" s="110">
        <f t="shared" si="3"/>
        <v>22.346368715083795</v>
      </c>
      <c r="E12" s="110">
        <f t="shared" si="3"/>
        <v>46.554934823091251</v>
      </c>
      <c r="F12" s="110">
        <f t="shared" si="3"/>
        <v>89.385474860335194</v>
      </c>
      <c r="G12" s="110">
        <f t="shared" si="3"/>
        <v>372.43947858472995</v>
      </c>
      <c r="I12" s="96" t="s">
        <v>177</v>
      </c>
      <c r="J12" s="59">
        <f>' Compte de Résultats'!$B$19</f>
        <v>81081</v>
      </c>
    </row>
    <row r="13" spans="1:16" s="101" customFormat="1" ht="16.2">
      <c r="A13" s="114" t="s">
        <v>178</v>
      </c>
      <c r="B13" s="110">
        <f t="shared" ref="B13:G13" si="4">IF(B6&gt;0,K35/K6,"")</f>
        <v>7.1912832929782082</v>
      </c>
      <c r="C13" s="110">
        <f t="shared" si="4"/>
        <v>71.912832929782084</v>
      </c>
      <c r="D13" s="110">
        <f t="shared" si="4"/>
        <v>19.97578692493947</v>
      </c>
      <c r="E13" s="110">
        <f t="shared" si="4"/>
        <v>186.4406779661017</v>
      </c>
      <c r="F13" s="110">
        <f t="shared" si="4"/>
        <v>143.82566585956417</v>
      </c>
      <c r="G13" s="110">
        <f t="shared" si="4"/>
        <v>745.7627118644067</v>
      </c>
      <c r="I13" s="96" t="s">
        <v>122</v>
      </c>
      <c r="J13" s="59">
        <f>Décisions!$I$16</f>
        <v>10000</v>
      </c>
      <c r="K13"/>
      <c r="L13"/>
      <c r="M13"/>
      <c r="N13"/>
      <c r="O13"/>
      <c r="P13"/>
    </row>
    <row r="14" spans="1:16">
      <c r="A14" s="152"/>
      <c r="I14" s="98" t="s">
        <v>76</v>
      </c>
      <c r="J14" s="99">
        <f>SUM(J12:J13)</f>
        <v>91081</v>
      </c>
      <c r="K14" s="105"/>
      <c r="L14" s="105"/>
      <c r="M14" s="105"/>
      <c r="N14" s="105"/>
      <c r="O14" s="105"/>
      <c r="P14" s="105"/>
    </row>
    <row r="15" spans="1:16" ht="16.2">
      <c r="A15" s="114" t="s">
        <v>179</v>
      </c>
      <c r="B15" s="110">
        <f>IF(B6&gt;0,B8+B9+B10+B11+B12+B13,"")</f>
        <v>134.8223336340381</v>
      </c>
      <c r="C15" s="110">
        <f t="shared" ref="C15:G15" si="5">IF(C6&gt;0,C8+C9+C10+C11+C12+C13,"")</f>
        <v>987.17175415848942</v>
      </c>
      <c r="D15" s="110">
        <f t="shared" si="5"/>
        <v>286.87033819709802</v>
      </c>
      <c r="E15" s="110">
        <f t="shared" si="5"/>
        <v>2500.7343602128103</v>
      </c>
      <c r="F15" s="110">
        <f t="shared" si="5"/>
        <v>1913.7742208561176</v>
      </c>
      <c r="G15" s="110">
        <f t="shared" si="5"/>
        <v>10627.865208512108</v>
      </c>
      <c r="I15" s="95" t="s">
        <v>174</v>
      </c>
    </row>
    <row r="16" spans="1:16" ht="16.2">
      <c r="A16" s="114"/>
      <c r="I16" s="100" t="s">
        <v>172</v>
      </c>
      <c r="J16" s="100" t="s">
        <v>180</v>
      </c>
    </row>
    <row r="17" spans="1:16" ht="16.2">
      <c r="A17" s="114" t="s">
        <v>181</v>
      </c>
      <c r="B17" s="110">
        <f t="shared" ref="B17:G17" si="6">IF(B6&gt;0,B6-B15,"")</f>
        <v>0.17766636596189755</v>
      </c>
      <c r="C17" s="110">
        <f t="shared" si="6"/>
        <v>362.82824584151058</v>
      </c>
      <c r="D17" s="110">
        <f t="shared" si="6"/>
        <v>88.129661802901978</v>
      </c>
      <c r="E17" s="110">
        <f t="shared" si="6"/>
        <v>999.26563978718968</v>
      </c>
      <c r="F17" s="110">
        <f t="shared" si="6"/>
        <v>786.22577914388239</v>
      </c>
      <c r="G17" s="110">
        <f t="shared" si="6"/>
        <v>3372.1347914878916</v>
      </c>
      <c r="I17" s="100" t="s">
        <v>182</v>
      </c>
      <c r="J17" s="109">
        <f t="shared" ref="J17:J18" si="7">SUM(K17:P17)</f>
        <v>9666</v>
      </c>
      <c r="K17" s="100">
        <f>K6*Paramètres!F17*VLOOKUP('Validation décisions'!J6,tab_temps,'Marge nette d''expl. '!K5+1,)/100</f>
        <v>2160</v>
      </c>
      <c r="L17" s="100">
        <f>L6*Paramètres!G17*VLOOKUP('Validation décisions'!K6,tab_temps,'Marge nette d''expl. '!L5+1,)/100</f>
        <v>576</v>
      </c>
      <c r="M17" s="100">
        <f>M6*Paramètres!H17*VLOOKUP('Validation décisions'!L6,tab_temps,'Marge nette d''expl. '!M5+1,)/100</f>
        <v>2160</v>
      </c>
      <c r="N17" s="100">
        <f>N6*Paramètres!I17*VLOOKUP('Validation décisions'!M6,tab_temps,'Marge nette d''expl. '!N5+1,)/100</f>
        <v>2250</v>
      </c>
      <c r="O17" s="100">
        <f>O6*Paramètres!J17*VLOOKUP('Validation décisions'!N6,tab_temps,'Marge nette d''expl. '!O5+1,)/100</f>
        <v>720</v>
      </c>
      <c r="P17" s="100">
        <f>P6*Paramètres!K17*VLOOKUP('Validation décisions'!O6,tab_temps,'Marge nette d''expl. '!P5+1,)/100</f>
        <v>1800</v>
      </c>
    </row>
    <row r="18" spans="1:16" ht="16.2">
      <c r="A18" s="114" t="s">
        <v>183</v>
      </c>
      <c r="B18" s="113">
        <f t="shared" ref="B18:G18" si="8">IF(B6&gt;0,B17/B6,"")</f>
        <v>1.3160471552733151E-3</v>
      </c>
      <c r="C18" s="113">
        <f t="shared" si="8"/>
        <v>0.26876166358630416</v>
      </c>
      <c r="D18" s="113">
        <f t="shared" si="8"/>
        <v>0.23501243147440529</v>
      </c>
      <c r="E18" s="113">
        <f t="shared" si="8"/>
        <v>0.28550446851062561</v>
      </c>
      <c r="F18" s="113">
        <f t="shared" si="8"/>
        <v>0.29119473301625276</v>
      </c>
      <c r="G18" s="113">
        <f t="shared" si="8"/>
        <v>0.24086677082056368</v>
      </c>
      <c r="I18" s="106" t="s">
        <v>175</v>
      </c>
      <c r="J18" s="107">
        <f t="shared" si="7"/>
        <v>1</v>
      </c>
      <c r="K18" s="108">
        <f>K17/$J$17</f>
        <v>0.22346368715083798</v>
      </c>
      <c r="L18" s="108">
        <f t="shared" ref="L18:P18" si="9">L17/$J$17</f>
        <v>5.9590316573556797E-2</v>
      </c>
      <c r="M18" s="108">
        <f t="shared" si="9"/>
        <v>0.22346368715083798</v>
      </c>
      <c r="N18" s="108">
        <f t="shared" si="9"/>
        <v>0.23277467411545624</v>
      </c>
      <c r="O18" s="108">
        <f t="shared" si="9"/>
        <v>7.4487895716946001E-2</v>
      </c>
      <c r="P18" s="108">
        <f t="shared" si="9"/>
        <v>0.18621973929236499</v>
      </c>
    </row>
    <row r="19" spans="1:16" s="100" customFormat="1" ht="13.8">
      <c r="A19"/>
      <c r="B19"/>
      <c r="C19"/>
      <c r="D19"/>
      <c r="E19"/>
      <c r="F19"/>
      <c r="G19"/>
      <c r="I19" s="96" t="s">
        <v>177</v>
      </c>
      <c r="J19" s="59">
        <f>' Compte de Résultats'!$B$18</f>
        <v>226800</v>
      </c>
      <c r="K19"/>
      <c r="L19"/>
      <c r="M19"/>
      <c r="N19"/>
      <c r="O19"/>
      <c r="P19"/>
    </row>
    <row r="20" spans="1:16" s="100" customFormat="1" ht="13.8">
      <c r="A20"/>
      <c r="B20"/>
      <c r="C20"/>
      <c r="D20"/>
      <c r="E20"/>
      <c r="F20"/>
      <c r="G20"/>
      <c r="I20" s="96" t="s">
        <v>122</v>
      </c>
      <c r="J20" s="59">
        <f>Décisions!$I$15</f>
        <v>25000</v>
      </c>
      <c r="K20"/>
      <c r="L20"/>
      <c r="M20"/>
      <c r="N20"/>
      <c r="O20"/>
      <c r="P20"/>
    </row>
    <row r="21" spans="1:16" ht="16.2">
      <c r="A21" s="114" t="s">
        <v>184</v>
      </c>
      <c r="I21" s="98" t="s">
        <v>76</v>
      </c>
      <c r="J21" s="99">
        <f>SUM(J19:J20)</f>
        <v>251800</v>
      </c>
      <c r="K21" s="110">
        <f>$J$21*K18</f>
        <v>56268.156424581</v>
      </c>
      <c r="L21" s="110">
        <f t="shared" ref="L21:P21" si="10">$J$21*L18</f>
        <v>15004.841713221602</v>
      </c>
      <c r="M21" s="110">
        <f t="shared" si="10"/>
        <v>56268.156424581</v>
      </c>
      <c r="N21" s="110">
        <f t="shared" si="10"/>
        <v>58612.662942271883</v>
      </c>
      <c r="O21" s="110">
        <f t="shared" si="10"/>
        <v>18756.052141527001</v>
      </c>
      <c r="P21" s="110">
        <f t="shared" si="10"/>
        <v>46890.130353817505</v>
      </c>
    </row>
    <row r="22" spans="1:16" ht="16.2">
      <c r="A22" s="114" t="s">
        <v>168</v>
      </c>
      <c r="B22" s="113">
        <f t="shared" ref="B22:G22" si="11">IF(B$6&gt;0,B8/B$15,"")</f>
        <v>0.1780120500298239</v>
      </c>
      <c r="C22" s="113">
        <f t="shared" si="11"/>
        <v>0.70909646376249102</v>
      </c>
      <c r="D22" s="113">
        <f t="shared" si="11"/>
        <v>0</v>
      </c>
      <c r="E22" s="113">
        <f t="shared" si="11"/>
        <v>0.71978856636609001</v>
      </c>
      <c r="F22" s="113">
        <f t="shared" si="11"/>
        <v>0.43892324959013718</v>
      </c>
      <c r="G22" s="113">
        <f t="shared" si="11"/>
        <v>0.56455364104490691</v>
      </c>
      <c r="I22" s="95" t="s">
        <v>176</v>
      </c>
    </row>
    <row r="23" spans="1:16" ht="16.2">
      <c r="A23" s="114" t="s">
        <v>170</v>
      </c>
      <c r="B23" s="113">
        <f>IF(B$6&gt;0,B9/B$15,"")</f>
        <v>6.1809739593688857E-3</v>
      </c>
      <c r="C23" s="113">
        <f t="shared" ref="C23:G23" si="12">IF(C$6&gt;0,C9/C$15,"")</f>
        <v>2.532487370580325E-2</v>
      </c>
      <c r="D23" s="113">
        <f t="shared" si="12"/>
        <v>2.3239302845197773E-2</v>
      </c>
      <c r="E23" s="113">
        <f t="shared" si="12"/>
        <v>1.0663534316534667E-2</v>
      </c>
      <c r="F23" s="113">
        <f t="shared" si="12"/>
        <v>2.0901107123339865E-2</v>
      </c>
      <c r="G23" s="113">
        <f t="shared" si="12"/>
        <v>3.1364091169161494E-2</v>
      </c>
      <c r="I23" s="100" t="s">
        <v>172</v>
      </c>
      <c r="J23" s="100" t="s">
        <v>180</v>
      </c>
    </row>
    <row r="24" spans="1:16" ht="16.2">
      <c r="A24" s="114" t="s">
        <v>171</v>
      </c>
      <c r="B24" s="113">
        <f t="shared" ref="B24:G27" si="13">IF(B$6&gt;0,B10/B$15,"")</f>
        <v>0.37323930775244912</v>
      </c>
      <c r="C24" s="113">
        <f t="shared" si="13"/>
        <v>5.097491319333184E-2</v>
      </c>
      <c r="D24" s="113">
        <f t="shared" si="13"/>
        <v>0.1754137245118888</v>
      </c>
      <c r="E24" s="113">
        <f t="shared" si="13"/>
        <v>2.0122486928542002E-2</v>
      </c>
      <c r="F24" s="113">
        <f t="shared" si="13"/>
        <v>2.6294112401946384E-2</v>
      </c>
      <c r="G24" s="113">
        <f t="shared" si="13"/>
        <v>4.7348167753233118E-3</v>
      </c>
      <c r="I24" s="106" t="s">
        <v>175</v>
      </c>
      <c r="J24" s="112">
        <f>J18</f>
        <v>1</v>
      </c>
      <c r="K24" s="112">
        <f t="shared" ref="K24:P24" si="14">K18</f>
        <v>0.22346368715083798</v>
      </c>
      <c r="L24" s="112">
        <f t="shared" si="14"/>
        <v>5.9590316573556797E-2</v>
      </c>
      <c r="M24" s="112">
        <f t="shared" si="14"/>
        <v>0.22346368715083798</v>
      </c>
      <c r="N24" s="112">
        <f t="shared" si="14"/>
        <v>0.23277467411545624</v>
      </c>
      <c r="O24" s="112">
        <f t="shared" si="14"/>
        <v>7.4487895716946001E-2</v>
      </c>
      <c r="P24" s="112">
        <f t="shared" si="14"/>
        <v>0.18621973929236499</v>
      </c>
    </row>
    <row r="25" spans="1:16" ht="16.2">
      <c r="A25" s="114" t="s">
        <v>174</v>
      </c>
      <c r="B25" s="113">
        <f t="shared" si="13"/>
        <v>0.34779200960203016</v>
      </c>
      <c r="C25" s="113">
        <f t="shared" si="13"/>
        <v>0.12666524045430186</v>
      </c>
      <c r="D25" s="113">
        <f t="shared" si="13"/>
        <v>0.65381636384589914</v>
      </c>
      <c r="E25" s="113">
        <f t="shared" si="13"/>
        <v>0.15625453566709899</v>
      </c>
      <c r="F25" s="113">
        <f t="shared" si="13"/>
        <v>0.39202225502100396</v>
      </c>
      <c r="G25" s="113">
        <f t="shared" si="13"/>
        <v>0.29413326467019985</v>
      </c>
      <c r="I25" s="96" t="s">
        <v>185</v>
      </c>
      <c r="J25" s="59">
        <f>' Compte de Résultats'!$B$12</f>
        <v>10000</v>
      </c>
    </row>
    <row r="26" spans="1:16" s="100" customFormat="1" ht="16.2">
      <c r="A26" s="114" t="s">
        <v>176</v>
      </c>
      <c r="B26" s="113">
        <f t="shared" si="13"/>
        <v>4.1436696934316543E-2</v>
      </c>
      <c r="C26" s="113">
        <f t="shared" si="13"/>
        <v>1.5091172413141602E-2</v>
      </c>
      <c r="D26" s="113">
        <f t="shared" si="13"/>
        <v>7.7897104509042789E-2</v>
      </c>
      <c r="E26" s="113">
        <f t="shared" si="13"/>
        <v>1.8616505440877562E-2</v>
      </c>
      <c r="F26" s="113">
        <f t="shared" si="13"/>
        <v>4.6706384633161707E-2</v>
      </c>
      <c r="G26" s="113">
        <f t="shared" si="13"/>
        <v>3.5043677283979321E-2</v>
      </c>
      <c r="I26" s="96" t="s">
        <v>63</v>
      </c>
      <c r="J26" s="59">
        <f>' Compte de Résultats'!B21</f>
        <v>20000</v>
      </c>
      <c r="K26"/>
      <c r="L26"/>
      <c r="M26"/>
      <c r="N26"/>
      <c r="O26"/>
      <c r="P26"/>
    </row>
    <row r="27" spans="1:16" ht="16.2">
      <c r="A27" s="114" t="s">
        <v>178</v>
      </c>
      <c r="B27" s="113">
        <f t="shared" si="13"/>
        <v>5.3338961722011399E-2</v>
      </c>
      <c r="C27" s="113">
        <f t="shared" si="13"/>
        <v>7.2847336470930418E-2</v>
      </c>
      <c r="D27" s="113">
        <f t="shared" si="13"/>
        <v>6.9633504287971534E-2</v>
      </c>
      <c r="E27" s="113">
        <f t="shared" si="13"/>
        <v>7.4554371280856777E-2</v>
      </c>
      <c r="F27" s="113">
        <f t="shared" si="13"/>
        <v>7.5152891230410898E-2</v>
      </c>
      <c r="G27" s="113">
        <f t="shared" si="13"/>
        <v>7.0170509056429103E-2</v>
      </c>
      <c r="I27" s="98" t="s">
        <v>76</v>
      </c>
      <c r="J27" s="99">
        <f>SUM(J25:J26)</f>
        <v>30000</v>
      </c>
      <c r="K27" s="110">
        <f>$J$27*K24</f>
        <v>6703.910614525139</v>
      </c>
      <c r="L27" s="110">
        <f t="shared" ref="L27:P27" si="15">$J$27*L24</f>
        <v>1787.7094972067039</v>
      </c>
      <c r="M27" s="110">
        <f t="shared" si="15"/>
        <v>6703.910614525139</v>
      </c>
      <c r="N27" s="110">
        <f t="shared" si="15"/>
        <v>6983.2402234636875</v>
      </c>
      <c r="O27" s="110">
        <f t="shared" si="15"/>
        <v>2234.63687150838</v>
      </c>
      <c r="P27" s="110">
        <f t="shared" si="15"/>
        <v>5586.5921787709494</v>
      </c>
    </row>
    <row r="28" spans="1:16" ht="16.2">
      <c r="B28" s="115"/>
      <c r="C28" s="115"/>
      <c r="D28" s="115"/>
      <c r="E28" s="115"/>
      <c r="F28" s="115"/>
      <c r="G28" s="115"/>
      <c r="I28" s="95" t="s">
        <v>178</v>
      </c>
    </row>
    <row r="29" spans="1:16" ht="13.8">
      <c r="I29" s="100" t="s">
        <v>172</v>
      </c>
      <c r="J29" s="100" t="s">
        <v>186</v>
      </c>
    </row>
    <row r="30" spans="1:16" ht="16.2">
      <c r="A30" s="148" t="s">
        <v>187</v>
      </c>
      <c r="I30" s="100" t="s">
        <v>188</v>
      </c>
      <c r="J30" s="100">
        <f t="shared" ref="J30:J31" si="16">SUM(K30:P30)</f>
        <v>1239000</v>
      </c>
      <c r="K30" s="100">
        <f>K6*B6</f>
        <v>162000</v>
      </c>
      <c r="L30" s="100">
        <f t="shared" ref="L30:P30" si="17">L6*C6</f>
        <v>162000</v>
      </c>
      <c r="M30" s="100">
        <f t="shared" si="17"/>
        <v>112500</v>
      </c>
      <c r="N30" s="100">
        <f t="shared" si="17"/>
        <v>525000</v>
      </c>
      <c r="O30" s="100">
        <f t="shared" si="17"/>
        <v>67500</v>
      </c>
      <c r="P30" s="100">
        <f t="shared" si="17"/>
        <v>210000</v>
      </c>
    </row>
    <row r="31" spans="1:16" ht="13.8">
      <c r="I31" s="106" t="s">
        <v>175</v>
      </c>
      <c r="J31" s="108">
        <f t="shared" si="16"/>
        <v>1</v>
      </c>
      <c r="K31" s="108">
        <f>K30/$J$30</f>
        <v>0.13075060532687652</v>
      </c>
      <c r="L31" s="108">
        <f t="shared" ref="L31:P31" si="18">L30/$J$30</f>
        <v>0.13075060532687652</v>
      </c>
      <c r="M31" s="108">
        <f t="shared" si="18"/>
        <v>9.0799031476997583E-2</v>
      </c>
      <c r="N31" s="108">
        <f t="shared" si="18"/>
        <v>0.42372881355932202</v>
      </c>
      <c r="O31" s="108">
        <f t="shared" si="18"/>
        <v>5.4479418886198547E-2</v>
      </c>
      <c r="P31" s="108">
        <f t="shared" si="18"/>
        <v>0.16949152542372881</v>
      </c>
    </row>
    <row r="32" spans="1:16" s="100" customFormat="1" ht="13.8">
      <c r="A32"/>
      <c r="B32"/>
      <c r="C32"/>
      <c r="D32"/>
      <c r="E32"/>
      <c r="F32"/>
      <c r="G32"/>
      <c r="I32" s="96" t="s">
        <v>189</v>
      </c>
      <c r="J32" s="59">
        <f>Décisions!$C$19</f>
        <v>20000</v>
      </c>
      <c r="K32"/>
      <c r="L32"/>
      <c r="M32"/>
      <c r="N32"/>
      <c r="O32"/>
      <c r="P32"/>
    </row>
    <row r="33" spans="1:16" s="100" customFormat="1" ht="13.8">
      <c r="A33"/>
      <c r="B33"/>
      <c r="C33"/>
      <c r="D33"/>
      <c r="E33"/>
      <c r="F33"/>
      <c r="G33"/>
      <c r="I33" s="96" t="s">
        <v>190</v>
      </c>
      <c r="J33" s="59">
        <f>Décisions!$C$20</f>
        <v>45000</v>
      </c>
      <c r="K33"/>
      <c r="L33"/>
      <c r="M33"/>
      <c r="N33"/>
      <c r="O33"/>
      <c r="P33"/>
    </row>
    <row r="34" spans="1:16" ht="13.8">
      <c r="I34" s="96" t="s">
        <v>123</v>
      </c>
      <c r="J34" s="59">
        <f>' Compte de Résultats'!$B$15</f>
        <v>1000</v>
      </c>
    </row>
    <row r="35" spans="1:16">
      <c r="I35" s="98" t="s">
        <v>76</v>
      </c>
      <c r="J35" s="99">
        <f>SUM(J32:J34)</f>
        <v>66000</v>
      </c>
      <c r="K35" s="110">
        <f>$J$35*K31</f>
        <v>8629.53995157385</v>
      </c>
      <c r="L35" s="110">
        <f t="shared" ref="L35:P35" si="19">$J$35*L31</f>
        <v>8629.53995157385</v>
      </c>
      <c r="M35" s="110">
        <f t="shared" si="19"/>
        <v>5992.7360774818408</v>
      </c>
      <c r="N35" s="110">
        <f t="shared" si="19"/>
        <v>27966.101694915254</v>
      </c>
      <c r="O35" s="110">
        <f t="shared" si="19"/>
        <v>3595.641646489104</v>
      </c>
      <c r="P35" s="110">
        <f t="shared" si="19"/>
        <v>11186.4406779661</v>
      </c>
    </row>
    <row r="36" spans="1:16">
      <c r="D36" s="115"/>
    </row>
  </sheetData>
  <conditionalFormatting sqref="B17:G1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  <pageSetUpPr fitToPage="1"/>
  </sheetPr>
  <dimension ref="A1:M60"/>
  <sheetViews>
    <sheetView zoomScale="92" zoomScaleNormal="110" workbookViewId="0">
      <selection activeCell="A36" sqref="A36"/>
    </sheetView>
  </sheetViews>
  <sheetFormatPr baseColWidth="10" defaultColWidth="11.44140625" defaultRowHeight="13.2"/>
  <cols>
    <col min="1" max="1" width="29.44140625" customWidth="1"/>
    <col min="2" max="2" width="10.88671875" style="35"/>
    <col min="5" max="5" width="17.109375" customWidth="1"/>
    <col min="6" max="6" width="15.33203125" bestFit="1" customWidth="1"/>
    <col min="7" max="7" width="13.6640625" bestFit="1" customWidth="1"/>
    <col min="9" max="9" width="13.5546875" bestFit="1" customWidth="1"/>
  </cols>
  <sheetData>
    <row r="1" spans="1:13" ht="20.399999999999999">
      <c r="A1" s="165" t="s">
        <v>191</v>
      </c>
      <c r="B1" s="166"/>
      <c r="C1" s="58"/>
      <c r="D1" s="58"/>
      <c r="E1" s="165" t="s">
        <v>192</v>
      </c>
      <c r="F1" s="58"/>
      <c r="G1" s="58"/>
      <c r="H1" s="58"/>
      <c r="I1" s="58"/>
      <c r="J1" s="58"/>
      <c r="K1" s="58"/>
    </row>
    <row r="2" spans="1:13" ht="20.399999999999999">
      <c r="A2" s="58"/>
      <c r="B2" s="166"/>
      <c r="C2" s="58"/>
      <c r="D2" s="58"/>
      <c r="E2" s="165" t="s">
        <v>193</v>
      </c>
      <c r="F2" s="58" t="s">
        <v>11</v>
      </c>
      <c r="G2" s="167" t="s">
        <v>194</v>
      </c>
      <c r="H2" s="58"/>
      <c r="I2" s="167" t="s">
        <v>195</v>
      </c>
      <c r="J2" s="58"/>
      <c r="K2" s="58"/>
    </row>
    <row r="3" spans="1:13" s="42" customFormat="1" ht="34.799999999999997">
      <c r="A3" s="168" t="s">
        <v>30</v>
      </c>
      <c r="B3" s="169"/>
      <c r="C3" s="170"/>
      <c r="D3" s="170"/>
      <c r="E3" s="171" t="s">
        <v>196</v>
      </c>
      <c r="F3" s="172">
        <v>1</v>
      </c>
      <c r="G3" s="172">
        <v>2</v>
      </c>
      <c r="H3" s="172">
        <v>3</v>
      </c>
      <c r="I3" s="172">
        <v>4</v>
      </c>
      <c r="J3" s="172">
        <v>5</v>
      </c>
      <c r="K3" s="172">
        <v>6</v>
      </c>
    </row>
    <row r="4" spans="1:13">
      <c r="A4" s="58" t="s">
        <v>33</v>
      </c>
      <c r="B4" s="166">
        <v>1000</v>
      </c>
      <c r="C4" s="58"/>
      <c r="D4" s="58"/>
      <c r="E4" s="58" t="s">
        <v>197</v>
      </c>
      <c r="F4" s="166">
        <v>20</v>
      </c>
      <c r="G4" s="166">
        <v>500</v>
      </c>
      <c r="H4" s="166">
        <v>0</v>
      </c>
      <c r="I4" s="166">
        <v>1500</v>
      </c>
      <c r="J4" s="166">
        <v>600</v>
      </c>
      <c r="K4" s="166">
        <v>5000</v>
      </c>
    </row>
    <row r="5" spans="1:13">
      <c r="A5" s="58" t="s">
        <v>36</v>
      </c>
      <c r="B5" s="166">
        <v>1000</v>
      </c>
      <c r="C5" s="58"/>
      <c r="D5" s="58"/>
      <c r="E5" s="58" t="s">
        <v>198</v>
      </c>
      <c r="F5" s="58"/>
      <c r="G5" s="58"/>
      <c r="H5" s="58"/>
      <c r="I5" s="58"/>
      <c r="J5" s="58"/>
      <c r="K5" s="58"/>
    </row>
    <row r="6" spans="1:13">
      <c r="A6" s="58" t="s">
        <v>38</v>
      </c>
      <c r="B6" s="166">
        <v>1000</v>
      </c>
      <c r="C6" s="58"/>
      <c r="D6" s="58"/>
      <c r="E6" s="58">
        <v>0</v>
      </c>
      <c r="F6" s="58"/>
      <c r="G6" s="58"/>
      <c r="H6" s="58"/>
      <c r="I6" s="58"/>
      <c r="J6" s="58"/>
      <c r="K6" s="58"/>
    </row>
    <row r="7" spans="1:13">
      <c r="A7" s="58" t="s">
        <v>34</v>
      </c>
      <c r="B7" s="166">
        <v>1000</v>
      </c>
      <c r="C7" s="58"/>
      <c r="D7" s="58"/>
      <c r="E7" s="167" t="s">
        <v>19</v>
      </c>
      <c r="F7" s="58">
        <v>60</v>
      </c>
      <c r="G7" s="58">
        <v>60</v>
      </c>
      <c r="H7" s="58">
        <v>60</v>
      </c>
      <c r="I7" s="58">
        <v>60</v>
      </c>
      <c r="J7" s="58">
        <v>60</v>
      </c>
      <c r="K7" s="58">
        <v>60</v>
      </c>
    </row>
    <row r="8" spans="1:13">
      <c r="A8" s="58" t="s">
        <v>37</v>
      </c>
      <c r="B8" s="166">
        <v>2000</v>
      </c>
      <c r="C8" s="58"/>
      <c r="D8" s="58"/>
      <c r="E8" s="167" t="s">
        <v>199</v>
      </c>
      <c r="F8" s="58">
        <v>80</v>
      </c>
      <c r="G8" s="58">
        <v>80</v>
      </c>
      <c r="H8" s="58">
        <v>80</v>
      </c>
      <c r="I8" s="58">
        <v>80</v>
      </c>
      <c r="J8" s="58">
        <v>80</v>
      </c>
      <c r="K8" s="58">
        <v>80</v>
      </c>
    </row>
    <row r="9" spans="1:13">
      <c r="A9" s="58" t="s">
        <v>39</v>
      </c>
      <c r="B9" s="166">
        <v>1500</v>
      </c>
      <c r="C9" s="58"/>
      <c r="D9" s="58"/>
      <c r="E9" s="167" t="s">
        <v>12</v>
      </c>
      <c r="F9" s="58">
        <v>120</v>
      </c>
      <c r="G9" s="58">
        <v>120</v>
      </c>
      <c r="H9" s="58">
        <v>120</v>
      </c>
      <c r="I9" s="58">
        <v>120</v>
      </c>
      <c r="J9" s="58">
        <v>120</v>
      </c>
      <c r="K9" s="58">
        <v>120</v>
      </c>
      <c r="M9" s="152"/>
    </row>
    <row r="10" spans="1:13">
      <c r="A10" s="58" t="s">
        <v>41</v>
      </c>
      <c r="B10" s="166">
        <v>2000</v>
      </c>
      <c r="C10" s="58"/>
      <c r="D10" s="58"/>
      <c r="E10" s="167" t="s">
        <v>15</v>
      </c>
      <c r="F10" s="58">
        <v>140</v>
      </c>
      <c r="G10" s="58">
        <v>140</v>
      </c>
      <c r="H10" s="58">
        <v>140</v>
      </c>
      <c r="I10" s="58">
        <v>140</v>
      </c>
      <c r="J10" s="58">
        <v>140</v>
      </c>
      <c r="K10" s="58">
        <v>140</v>
      </c>
    </row>
    <row r="11" spans="1:13">
      <c r="A11" s="58" t="s">
        <v>84</v>
      </c>
      <c r="B11" s="166">
        <v>1000</v>
      </c>
      <c r="C11" s="58"/>
      <c r="D11" s="58"/>
      <c r="E11" s="58"/>
      <c r="F11" s="58"/>
      <c r="G11" s="58"/>
      <c r="H11" s="58"/>
      <c r="I11" s="58"/>
      <c r="J11" s="58"/>
      <c r="K11" s="58"/>
    </row>
    <row r="12" spans="1:13">
      <c r="A12" s="58" t="s">
        <v>86</v>
      </c>
      <c r="B12" s="166">
        <v>1000</v>
      </c>
      <c r="C12" s="58"/>
      <c r="D12" s="58"/>
      <c r="E12" s="58"/>
      <c r="F12" s="58"/>
      <c r="G12" s="58"/>
      <c r="H12" s="58"/>
      <c r="I12" s="58"/>
      <c r="J12" s="58"/>
      <c r="K12" s="58"/>
    </row>
    <row r="13" spans="1:13">
      <c r="A13" s="58" t="s">
        <v>48</v>
      </c>
      <c r="B13" s="166">
        <v>1000</v>
      </c>
      <c r="C13" s="58"/>
      <c r="D13" s="58"/>
      <c r="E13" s="58"/>
      <c r="F13" s="58"/>
      <c r="G13" s="58"/>
      <c r="H13" s="58"/>
      <c r="I13" s="58"/>
      <c r="J13" s="58"/>
      <c r="K13" s="58"/>
    </row>
    <row r="14" spans="1:13">
      <c r="A14" s="167" t="s">
        <v>200</v>
      </c>
      <c r="B14" s="166">
        <v>1000</v>
      </c>
      <c r="C14" s="58"/>
      <c r="D14" s="58"/>
      <c r="E14" s="58"/>
      <c r="F14" s="58"/>
      <c r="G14" s="58"/>
      <c r="H14" s="58"/>
      <c r="I14" s="58"/>
      <c r="J14" s="58"/>
      <c r="K14" s="58"/>
    </row>
    <row r="15" spans="1:13">
      <c r="A15" s="58"/>
      <c r="B15" s="166"/>
      <c r="C15" s="58"/>
      <c r="D15" s="58"/>
      <c r="E15" s="58"/>
      <c r="F15" s="58"/>
      <c r="G15" s="58"/>
      <c r="H15" s="58"/>
      <c r="I15" s="58"/>
      <c r="J15" s="58"/>
      <c r="K15" s="58"/>
    </row>
    <row r="16" spans="1:13" ht="34.799999999999997">
      <c r="A16" s="173" t="s">
        <v>143</v>
      </c>
      <c r="B16" s="166"/>
      <c r="C16" s="58"/>
      <c r="D16" s="58"/>
      <c r="E16" s="171" t="s">
        <v>85</v>
      </c>
      <c r="F16" s="58"/>
      <c r="G16" s="58"/>
      <c r="H16" s="58"/>
      <c r="I16" s="58"/>
      <c r="J16" s="58"/>
      <c r="K16" s="58"/>
    </row>
    <row r="17" spans="1:11">
      <c r="A17" s="58" t="s">
        <v>201</v>
      </c>
      <c r="B17" s="166">
        <v>2000</v>
      </c>
      <c r="C17" s="58"/>
      <c r="D17" s="58"/>
      <c r="E17" s="58" t="s">
        <v>202</v>
      </c>
      <c r="F17" s="174">
        <v>1.5</v>
      </c>
      <c r="G17" s="174">
        <v>4</v>
      </c>
      <c r="H17" s="174">
        <v>6</v>
      </c>
      <c r="I17" s="174">
        <v>15</v>
      </c>
      <c r="J17" s="174">
        <v>24</v>
      </c>
      <c r="K17" s="174">
        <v>100</v>
      </c>
    </row>
    <row r="18" spans="1:11">
      <c r="A18" s="58" t="s">
        <v>203</v>
      </c>
      <c r="B18" s="166">
        <v>20000</v>
      </c>
      <c r="C18" s="58"/>
      <c r="D18" s="58"/>
      <c r="E18" s="167" t="s">
        <v>204</v>
      </c>
      <c r="F18" s="58"/>
      <c r="G18" s="58"/>
      <c r="H18" s="58"/>
      <c r="I18" s="58"/>
      <c r="J18" s="58"/>
      <c r="K18" s="58"/>
    </row>
    <row r="19" spans="1:11">
      <c r="A19" s="58" t="s">
        <v>205</v>
      </c>
      <c r="B19" s="166">
        <v>2000</v>
      </c>
      <c r="C19" s="58"/>
      <c r="D19" s="58"/>
      <c r="E19" s="58">
        <v>0</v>
      </c>
      <c r="F19" s="58"/>
      <c r="G19" s="58"/>
      <c r="H19" s="58"/>
      <c r="I19" s="58"/>
      <c r="J19" s="58"/>
      <c r="K19" s="58"/>
    </row>
    <row r="20" spans="1:11">
      <c r="A20" s="58" t="s">
        <v>206</v>
      </c>
      <c r="B20" s="175">
        <v>5</v>
      </c>
      <c r="C20" s="58"/>
      <c r="D20" s="58"/>
      <c r="E20" s="167" t="s">
        <v>207</v>
      </c>
      <c r="F20" s="58">
        <v>70</v>
      </c>
      <c r="G20" s="58">
        <v>70</v>
      </c>
      <c r="H20" s="58">
        <v>70</v>
      </c>
      <c r="I20" s="58">
        <v>70</v>
      </c>
      <c r="J20" s="58">
        <v>70</v>
      </c>
      <c r="K20" s="58">
        <v>70</v>
      </c>
    </row>
    <row r="21" spans="1:11">
      <c r="A21" s="167" t="s">
        <v>208</v>
      </c>
      <c r="B21" s="176">
        <v>2000</v>
      </c>
      <c r="C21" s="58"/>
      <c r="D21" s="58"/>
      <c r="E21" s="167" t="s">
        <v>13</v>
      </c>
      <c r="F21" s="58">
        <v>100</v>
      </c>
      <c r="G21" s="58">
        <v>100</v>
      </c>
      <c r="H21" s="58">
        <v>100</v>
      </c>
      <c r="I21" s="58">
        <v>100</v>
      </c>
      <c r="J21" s="58">
        <v>100</v>
      </c>
      <c r="K21" s="58">
        <v>100</v>
      </c>
    </row>
    <row r="22" spans="1:11">
      <c r="A22" s="177" t="s">
        <v>209</v>
      </c>
      <c r="B22" s="177"/>
      <c r="C22" s="58"/>
      <c r="D22" s="58"/>
      <c r="E22" s="167" t="s">
        <v>16</v>
      </c>
      <c r="F22" s="58">
        <v>120</v>
      </c>
      <c r="G22" s="58">
        <v>120</v>
      </c>
      <c r="H22" s="58">
        <v>120</v>
      </c>
      <c r="I22" s="58">
        <v>120</v>
      </c>
      <c r="J22" s="58">
        <v>120</v>
      </c>
      <c r="K22" s="58">
        <v>120</v>
      </c>
    </row>
    <row r="23" spans="1:11">
      <c r="A23" s="177" t="s">
        <v>210</v>
      </c>
      <c r="B23" s="178">
        <v>1</v>
      </c>
      <c r="C23" s="58"/>
      <c r="D23" s="58"/>
      <c r="E23" s="167" t="s">
        <v>211</v>
      </c>
      <c r="F23" s="58">
        <v>150</v>
      </c>
      <c r="G23" s="58">
        <v>150</v>
      </c>
      <c r="H23" s="58">
        <v>150</v>
      </c>
      <c r="I23" s="58">
        <v>150</v>
      </c>
      <c r="J23" s="58">
        <v>150</v>
      </c>
      <c r="K23" s="58">
        <v>150</v>
      </c>
    </row>
    <row r="24" spans="1:11">
      <c r="A24" s="177" t="s">
        <v>212</v>
      </c>
      <c r="B24" s="178">
        <v>1</v>
      </c>
      <c r="C24" s="58"/>
      <c r="D24" s="58"/>
      <c r="E24" s="58"/>
      <c r="F24" s="58"/>
      <c r="G24" s="58"/>
      <c r="H24" s="58"/>
      <c r="I24" s="58"/>
      <c r="J24" s="58"/>
      <c r="K24" s="58"/>
    </row>
    <row r="25" spans="1:11">
      <c r="A25" s="177" t="s">
        <v>213</v>
      </c>
      <c r="B25" s="178">
        <v>0.9</v>
      </c>
      <c r="C25" s="58"/>
      <c r="D25" s="58"/>
      <c r="E25" s="58"/>
      <c r="F25" s="58"/>
      <c r="G25" s="58"/>
      <c r="H25" s="58"/>
      <c r="I25" s="58"/>
      <c r="J25" s="58"/>
      <c r="K25" s="58"/>
    </row>
    <row r="26" spans="1:11">
      <c r="A26" s="177" t="s">
        <v>214</v>
      </c>
      <c r="B26" s="178">
        <v>0.8</v>
      </c>
      <c r="C26" s="58"/>
      <c r="D26" s="58"/>
      <c r="E26" s="58"/>
      <c r="F26" s="58"/>
      <c r="G26" s="58"/>
      <c r="H26" s="58"/>
      <c r="I26" s="58"/>
      <c r="J26" s="58"/>
      <c r="K26" s="58"/>
    </row>
    <row r="27" spans="1:11">
      <c r="A27" s="177" t="s">
        <v>215</v>
      </c>
      <c r="B27" s="178">
        <v>0.7</v>
      </c>
      <c r="C27" s="58"/>
      <c r="D27" s="58"/>
      <c r="E27" s="58"/>
      <c r="F27" s="58"/>
      <c r="G27" s="58"/>
      <c r="H27" s="58"/>
      <c r="I27" s="58"/>
      <c r="J27" s="58"/>
      <c r="K27" s="58"/>
    </row>
    <row r="28" spans="1:11">
      <c r="A28" s="177" t="s">
        <v>216</v>
      </c>
      <c r="B28" s="178">
        <v>0</v>
      </c>
      <c r="C28" s="58"/>
      <c r="D28" s="58"/>
      <c r="E28" s="58"/>
      <c r="F28" s="58"/>
      <c r="G28" s="58"/>
      <c r="H28" s="58"/>
      <c r="I28" s="58"/>
      <c r="J28" s="58"/>
      <c r="K28" s="58"/>
    </row>
    <row r="29" spans="1:11" ht="17.399999999999999">
      <c r="A29" s="58"/>
      <c r="B29" s="166"/>
      <c r="C29" s="58"/>
      <c r="D29" s="58"/>
      <c r="E29" s="171" t="s">
        <v>217</v>
      </c>
      <c r="F29" s="190" t="s">
        <v>218</v>
      </c>
      <c r="G29" s="58"/>
      <c r="H29" s="58"/>
      <c r="I29" s="58"/>
      <c r="J29" s="58"/>
      <c r="K29" s="58"/>
    </row>
    <row r="30" spans="1:11">
      <c r="A30" s="58"/>
      <c r="B30" s="166"/>
      <c r="C30" s="58"/>
      <c r="D30" s="58"/>
      <c r="E30" s="58">
        <v>1</v>
      </c>
      <c r="F30" s="58">
        <v>1</v>
      </c>
      <c r="G30" s="58"/>
      <c r="H30" s="58"/>
      <c r="I30" s="58"/>
      <c r="J30" s="58"/>
      <c r="K30" s="58"/>
    </row>
    <row r="31" spans="1:11" ht="17.399999999999999">
      <c r="A31" s="179" t="s">
        <v>125</v>
      </c>
      <c r="B31" s="166"/>
      <c r="C31" s="58"/>
      <c r="D31" s="58"/>
      <c r="E31" s="58">
        <v>2</v>
      </c>
      <c r="F31" s="58">
        <v>2</v>
      </c>
      <c r="G31" s="58"/>
      <c r="H31" s="58"/>
      <c r="I31" s="58"/>
      <c r="J31" s="58"/>
      <c r="K31" s="58"/>
    </row>
    <row r="32" spans="1:11">
      <c r="A32" s="167" t="s">
        <v>219</v>
      </c>
      <c r="B32" s="180">
        <v>1000</v>
      </c>
      <c r="C32" s="58"/>
      <c r="D32" s="58"/>
      <c r="E32" s="58">
        <v>3</v>
      </c>
      <c r="F32" s="58">
        <v>3</v>
      </c>
      <c r="G32" s="58"/>
      <c r="H32" s="58"/>
      <c r="I32" s="58"/>
      <c r="J32" s="58"/>
      <c r="K32" s="58"/>
    </row>
    <row r="33" spans="1:11">
      <c r="A33" s="167" t="s">
        <v>220</v>
      </c>
      <c r="B33" s="176">
        <v>1200</v>
      </c>
      <c r="C33" s="58"/>
      <c r="D33" s="58"/>
      <c r="E33" s="58">
        <v>4</v>
      </c>
      <c r="F33" s="58">
        <v>1</v>
      </c>
      <c r="G33" s="58"/>
      <c r="H33" s="58"/>
      <c r="I33" s="58"/>
      <c r="J33" s="58"/>
      <c r="K33" s="58"/>
    </row>
    <row r="34" spans="1:11">
      <c r="A34" s="167" t="s">
        <v>221</v>
      </c>
      <c r="B34" s="181">
        <f>22000*1.05</f>
        <v>23100</v>
      </c>
      <c r="C34" s="58"/>
      <c r="D34" s="58"/>
      <c r="E34" s="58">
        <v>5</v>
      </c>
      <c r="F34" s="58">
        <v>4</v>
      </c>
      <c r="G34" s="58"/>
      <c r="H34" s="58"/>
      <c r="I34" s="58"/>
      <c r="J34" s="58"/>
      <c r="K34" s="58"/>
    </row>
    <row r="35" spans="1:11">
      <c r="A35" s="167" t="s">
        <v>222</v>
      </c>
      <c r="B35" s="181">
        <f>30000*1.05</f>
        <v>31500</v>
      </c>
      <c r="C35" s="58"/>
      <c r="D35" s="58"/>
      <c r="E35" s="58">
        <v>6</v>
      </c>
      <c r="F35" s="58">
        <v>5</v>
      </c>
      <c r="G35" s="58"/>
      <c r="H35" s="58"/>
      <c r="I35" s="58"/>
      <c r="J35" s="58"/>
      <c r="K35" s="58"/>
    </row>
    <row r="36" spans="1:11">
      <c r="A36" s="177" t="s">
        <v>87</v>
      </c>
      <c r="B36" s="182"/>
      <c r="C36" s="58"/>
      <c r="D36" s="58"/>
      <c r="E36" s="58"/>
      <c r="F36" s="58"/>
      <c r="G36" s="58"/>
      <c r="H36" s="58"/>
      <c r="I36" s="58"/>
      <c r="J36" s="58"/>
      <c r="K36" s="58"/>
    </row>
    <row r="37" spans="1:11">
      <c r="A37" s="177" t="s">
        <v>81</v>
      </c>
      <c r="B37" s="183">
        <v>1300</v>
      </c>
      <c r="C37" s="58"/>
      <c r="D37" s="58"/>
      <c r="E37" s="58"/>
      <c r="F37" s="58"/>
      <c r="G37" s="58"/>
      <c r="H37" s="58"/>
      <c r="I37" s="58"/>
      <c r="J37" s="58"/>
      <c r="K37" s="58"/>
    </row>
    <row r="38" spans="1:11">
      <c r="A38" s="177" t="s">
        <v>223</v>
      </c>
      <c r="B38" s="183">
        <v>1000</v>
      </c>
      <c r="C38" s="58"/>
      <c r="D38" s="58"/>
      <c r="E38" s="197" t="s">
        <v>143</v>
      </c>
      <c r="F38" s="198"/>
      <c r="G38" s="58"/>
      <c r="H38" s="58"/>
      <c r="I38" s="58"/>
      <c r="J38" s="58"/>
      <c r="K38" s="58"/>
    </row>
    <row r="39" spans="1:11">
      <c r="A39" s="177" t="s">
        <v>88</v>
      </c>
      <c r="B39" s="182"/>
      <c r="C39" s="58"/>
      <c r="D39" s="58"/>
      <c r="E39" s="167" t="s">
        <v>224</v>
      </c>
      <c r="F39" s="167" t="s">
        <v>225</v>
      </c>
      <c r="G39" s="58"/>
      <c r="H39" s="58"/>
      <c r="I39" s="58"/>
      <c r="J39" s="58"/>
      <c r="K39" s="58"/>
    </row>
    <row r="40" spans="1:11">
      <c r="A40" s="177" t="s">
        <v>81</v>
      </c>
      <c r="B40" s="183">
        <v>4000</v>
      </c>
      <c r="C40" s="58"/>
      <c r="D40" s="58"/>
      <c r="E40" s="58">
        <v>0</v>
      </c>
      <c r="F40" s="184">
        <f>Paramètres!$B$23</f>
        <v>1</v>
      </c>
      <c r="G40" s="58"/>
      <c r="H40" s="58"/>
      <c r="I40" s="58"/>
      <c r="J40" s="58"/>
      <c r="K40" s="58"/>
    </row>
    <row r="41" spans="1:11">
      <c r="A41" s="177" t="s">
        <v>223</v>
      </c>
      <c r="B41" s="183">
        <v>5000</v>
      </c>
      <c r="C41" s="58"/>
      <c r="D41" s="58"/>
      <c r="E41" s="58">
        <v>1</v>
      </c>
      <c r="F41" s="184">
        <f>Paramètres!$B$24</f>
        <v>1</v>
      </c>
      <c r="G41" s="58"/>
      <c r="H41" s="58"/>
      <c r="I41" s="58"/>
      <c r="J41" s="58"/>
      <c r="K41" s="58"/>
    </row>
    <row r="42" spans="1:11">
      <c r="A42" s="58"/>
      <c r="B42" s="166"/>
      <c r="C42" s="58"/>
      <c r="D42" s="58"/>
      <c r="E42" s="58">
        <v>2</v>
      </c>
      <c r="F42" s="184">
        <f>Paramètres!$B$25</f>
        <v>0.9</v>
      </c>
      <c r="G42" s="58"/>
      <c r="H42" s="58"/>
      <c r="I42" s="58"/>
      <c r="J42" s="58"/>
      <c r="K42" s="58"/>
    </row>
    <row r="43" spans="1:11">
      <c r="A43" s="58"/>
      <c r="B43" s="166"/>
      <c r="C43" s="58"/>
      <c r="D43" s="58"/>
      <c r="E43" s="58">
        <v>3</v>
      </c>
      <c r="F43" s="184">
        <f>Paramètres!$B$26</f>
        <v>0.8</v>
      </c>
      <c r="G43" s="58"/>
      <c r="H43" s="58"/>
      <c r="I43" s="58"/>
      <c r="J43" s="58"/>
      <c r="K43" s="58"/>
    </row>
    <row r="44" spans="1:11" ht="17.399999999999999">
      <c r="A44" s="179" t="s">
        <v>226</v>
      </c>
      <c r="B44" s="166"/>
      <c r="C44" s="58"/>
      <c r="D44" s="58"/>
      <c r="E44" s="58">
        <v>4</v>
      </c>
      <c r="F44" s="184">
        <f>Paramètres!$B$27</f>
        <v>0.7</v>
      </c>
      <c r="G44" s="58"/>
      <c r="H44" s="58"/>
      <c r="I44" s="58"/>
      <c r="J44" s="58"/>
      <c r="K44" s="58"/>
    </row>
    <row r="45" spans="1:11">
      <c r="A45" s="167" t="s">
        <v>227</v>
      </c>
      <c r="B45" s="185">
        <v>0.25</v>
      </c>
      <c r="C45" s="58"/>
      <c r="D45" s="58"/>
      <c r="E45" s="58">
        <v>5</v>
      </c>
      <c r="F45" s="184">
        <v>0</v>
      </c>
      <c r="G45" s="58"/>
      <c r="H45" s="58"/>
      <c r="I45" s="58"/>
      <c r="J45" s="58"/>
      <c r="K45" s="58"/>
    </row>
    <row r="46" spans="1:11">
      <c r="A46" s="167" t="s">
        <v>228</v>
      </c>
      <c r="B46" s="186">
        <v>0.1</v>
      </c>
      <c r="C46" s="58"/>
      <c r="D46" s="58"/>
      <c r="E46" s="58">
        <v>6</v>
      </c>
      <c r="F46" s="184">
        <v>0</v>
      </c>
      <c r="G46" s="58"/>
      <c r="H46" s="58"/>
      <c r="I46" s="58"/>
      <c r="J46" s="58"/>
      <c r="K46" s="58"/>
    </row>
    <row r="47" spans="1:11">
      <c r="A47" s="167" t="s">
        <v>229</v>
      </c>
      <c r="B47" s="186">
        <v>0.06</v>
      </c>
      <c r="C47" s="58"/>
      <c r="D47" s="58"/>
      <c r="E47" s="58">
        <v>7</v>
      </c>
      <c r="F47" s="184">
        <v>0</v>
      </c>
      <c r="G47" s="58"/>
      <c r="H47" s="58"/>
      <c r="I47" s="58"/>
      <c r="J47" s="58"/>
      <c r="K47" s="58"/>
    </row>
    <row r="48" spans="1:11">
      <c r="A48" s="167" t="s">
        <v>230</v>
      </c>
      <c r="B48" s="187">
        <v>5</v>
      </c>
      <c r="C48" s="167" t="s">
        <v>231</v>
      </c>
      <c r="D48" s="58"/>
      <c r="E48" s="58">
        <v>8</v>
      </c>
      <c r="F48" s="184">
        <v>0</v>
      </c>
      <c r="G48" s="58"/>
      <c r="H48" s="58"/>
      <c r="I48" s="58"/>
      <c r="J48" s="58"/>
      <c r="K48" s="58"/>
    </row>
    <row r="49" spans="1:11">
      <c r="A49" s="167" t="s">
        <v>232</v>
      </c>
      <c r="B49" s="194">
        <v>0</v>
      </c>
      <c r="C49" s="58"/>
      <c r="D49" s="58"/>
      <c r="E49" s="58">
        <v>9</v>
      </c>
      <c r="F49" s="184">
        <v>0</v>
      </c>
      <c r="G49" s="58"/>
      <c r="H49" s="58"/>
      <c r="I49" s="58"/>
      <c r="J49" s="58"/>
      <c r="K49" s="58"/>
    </row>
    <row r="50" spans="1:11">
      <c r="A50" s="167" t="s">
        <v>233</v>
      </c>
      <c r="B50" s="166">
        <v>20000</v>
      </c>
      <c r="C50" s="58"/>
      <c r="D50" s="58"/>
      <c r="E50" s="58"/>
      <c r="F50" s="58"/>
      <c r="G50" s="58"/>
      <c r="H50" s="58"/>
      <c r="I50" s="58"/>
      <c r="J50" s="58"/>
      <c r="K50" s="58"/>
    </row>
    <row r="51" spans="1:11" ht="20.399999999999999">
      <c r="A51" s="165" t="s">
        <v>234</v>
      </c>
      <c r="B51" s="166"/>
      <c r="C51" s="58"/>
      <c r="D51" s="58"/>
      <c r="E51" s="58"/>
      <c r="F51" s="58"/>
      <c r="G51" s="58"/>
      <c r="H51" s="58"/>
      <c r="I51" s="58"/>
      <c r="J51" s="58"/>
      <c r="K51" s="58"/>
    </row>
    <row r="52" spans="1:11">
      <c r="A52" s="58" t="s">
        <v>235</v>
      </c>
      <c r="B52" s="188">
        <v>0.3</v>
      </c>
      <c r="C52" s="58"/>
      <c r="D52" s="58"/>
      <c r="E52" s="58"/>
      <c r="F52" s="58"/>
      <c r="G52" s="58"/>
      <c r="H52" s="58"/>
      <c r="I52" s="58"/>
      <c r="J52" s="58"/>
      <c r="K52" s="58"/>
    </row>
    <row r="53" spans="1:11">
      <c r="A53" s="58" t="s">
        <v>236</v>
      </c>
      <c r="B53" s="188">
        <v>0.3</v>
      </c>
      <c r="C53" s="58"/>
      <c r="D53" s="58"/>
      <c r="E53" s="58"/>
      <c r="F53" s="58"/>
      <c r="G53" s="58"/>
      <c r="H53" s="58"/>
      <c r="I53" s="58"/>
      <c r="J53" s="58"/>
      <c r="K53" s="58"/>
    </row>
    <row r="54" spans="1:11">
      <c r="A54" s="58"/>
      <c r="B54" s="189" t="s">
        <v>237</v>
      </c>
      <c r="C54" s="58" t="s">
        <v>238</v>
      </c>
      <c r="D54" s="58"/>
      <c r="E54" s="58"/>
      <c r="F54" s="58"/>
      <c r="G54" s="58"/>
      <c r="H54" s="58"/>
      <c r="I54" s="58"/>
      <c r="J54" s="58"/>
      <c r="K54" s="58"/>
    </row>
    <row r="55" spans="1:11">
      <c r="A55" s="58" t="s">
        <v>239</v>
      </c>
      <c r="B55" s="187">
        <v>80</v>
      </c>
      <c r="C55" s="58">
        <v>150</v>
      </c>
      <c r="D55" s="58"/>
      <c r="E55" s="58"/>
      <c r="F55" s="58"/>
      <c r="G55" s="58"/>
      <c r="H55" s="58"/>
      <c r="I55" s="58"/>
      <c r="J55" s="58"/>
      <c r="K55" s="58"/>
    </row>
    <row r="56" spans="1:11">
      <c r="A56" s="167" t="s">
        <v>240</v>
      </c>
      <c r="B56" s="187">
        <v>80</v>
      </c>
      <c r="C56" s="58">
        <v>150</v>
      </c>
      <c r="D56" s="58"/>
      <c r="E56" s="58"/>
      <c r="F56" s="58"/>
      <c r="G56" s="58"/>
      <c r="H56" s="58"/>
      <c r="I56" s="58"/>
      <c r="J56" s="58"/>
      <c r="K56" s="58"/>
    </row>
    <row r="57" spans="1:11">
      <c r="A57" s="152"/>
      <c r="C57" s="35"/>
    </row>
    <row r="58" spans="1:11">
      <c r="A58" s="152"/>
      <c r="C58" s="35"/>
    </row>
    <row r="59" spans="1:11">
      <c r="A59" s="152"/>
      <c r="C59" s="35"/>
    </row>
    <row r="60" spans="1:11">
      <c r="A60" s="152"/>
    </row>
  </sheetData>
  <mergeCells count="1">
    <mergeCell ref="E38:F38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295BA8603B046AE6DDEFA7BA91CF7" ma:contentTypeVersion="12" ma:contentTypeDescription="Crée un document." ma:contentTypeScope="" ma:versionID="0637b5222667635af3b9f2036f4d311a">
  <xsd:schema xmlns:xsd="http://www.w3.org/2001/XMLSchema" xmlns:xs="http://www.w3.org/2001/XMLSchema" xmlns:p="http://schemas.microsoft.com/office/2006/metadata/properties" xmlns:ns3="2378e235-5f28-4143-9ab8-d366f119226e" targetNamespace="http://schemas.microsoft.com/office/2006/metadata/properties" ma:root="true" ma:fieldsID="a70e75985c7533cfcf9b4e80d819e923" ns3:_="">
    <xsd:import namespace="2378e235-5f28-4143-9ab8-d366f11922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8e235-5f28-4143-9ab8-d366f11922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78e235-5f28-4143-9ab8-d366f119226e" xsi:nil="true"/>
  </documentManagement>
</p:properties>
</file>

<file path=customXml/itemProps1.xml><?xml version="1.0" encoding="utf-8"?>
<ds:datastoreItem xmlns:ds="http://schemas.openxmlformats.org/officeDocument/2006/customXml" ds:itemID="{7D2C47AF-F327-4A53-95F6-542D85F7D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78e235-5f28-4143-9ab8-d366f1192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637C51-DF8B-45A3-8B59-0B67AC25CD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2F0817-8A75-42BF-BEFA-7A1EC348438B}">
  <ds:schemaRefs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378e235-5f28-4143-9ab8-d366f11922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26</vt:i4>
      </vt:variant>
    </vt:vector>
  </HeadingPairs>
  <TitlesOfParts>
    <vt:vector size="33" baseType="lpstr">
      <vt:lpstr>Décisions</vt:lpstr>
      <vt:lpstr>Validation décisions</vt:lpstr>
      <vt:lpstr> Compte de Résultats</vt:lpstr>
      <vt:lpstr>Bilan</vt:lpstr>
      <vt:lpstr>Emprunts</vt:lpstr>
      <vt:lpstr>Marge nette d'expl. </vt:lpstr>
      <vt:lpstr>Paramètres</vt:lpstr>
      <vt:lpstr>amort_stat_restantes</vt:lpstr>
      <vt:lpstr>an</vt:lpstr>
      <vt:lpstr>an_debut</vt:lpstr>
      <vt:lpstr>capac_station</vt:lpstr>
      <vt:lpstr>capac_tot_stations</vt:lpstr>
      <vt:lpstr>cout_comp</vt:lpstr>
      <vt:lpstr>déc_offre</vt:lpstr>
      <vt:lpstr>durée_amort</vt:lpstr>
      <vt:lpstr>liste_niveau</vt:lpstr>
      <vt:lpstr>liste_temps</vt:lpstr>
      <vt:lpstr>Max_com_ext</vt:lpstr>
      <vt:lpstr>Max_com_int</vt:lpstr>
      <vt:lpstr>Max_form_A</vt:lpstr>
      <vt:lpstr>Max_ind_Cons</vt:lpstr>
      <vt:lpstr>Max_ind_Tech</vt:lpstr>
      <vt:lpstr>Min_ind_Cons</vt:lpstr>
      <vt:lpstr>Min_ind_Tech</vt:lpstr>
      <vt:lpstr>Px_achat_station</vt:lpstr>
      <vt:lpstr>Px_cession_station</vt:lpstr>
      <vt:lpstr>tab_niveau</vt:lpstr>
      <vt:lpstr>tab_temps</vt:lpstr>
      <vt:lpstr>tab_usure</vt:lpstr>
      <vt:lpstr>val_nette_stat_cedees</vt:lpstr>
      <vt:lpstr>' Compte de Résultats'!Zone_d_impression</vt:lpstr>
      <vt:lpstr>Bilan!Zone_d_impression</vt:lpstr>
      <vt:lpstr>Paramètres!Zone_d_impression</vt:lpstr>
    </vt:vector>
  </TitlesOfParts>
  <Manager/>
  <Company>Strat&amp;Logic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LAVOGIEZ Laurent</dc:creator>
  <cp:keywords/>
  <dc:description/>
  <cp:lastModifiedBy>Maxence Abric--Segarra</cp:lastModifiedBy>
  <cp:revision/>
  <dcterms:created xsi:type="dcterms:W3CDTF">2002-01-25T16:36:49Z</dcterms:created>
  <dcterms:modified xsi:type="dcterms:W3CDTF">2025-06-01T16:38:16Z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0x010100EBF295BA8603B046AE6DDEFA7BA91CF7</vt:lpwstr>
  </property>
</Properties>
</file>